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795" activeTab="1"/>
  </bookViews>
  <sheets>
    <sheet name="汇总" sheetId="12" r:id="rId1"/>
    <sheet name="26年考核标准" sheetId="22" r:id="rId2"/>
    <sheet name="收费率" sheetId="11" r:id="rId3"/>
    <sheet name="空间资源" sheetId="33" r:id="rId4"/>
    <sheet name="业主满意度" sheetId="36" r:id="rId5"/>
    <sheet name="投诉完成率" sheetId="13" r:id="rId6"/>
    <sheet name="设备设施管理" sheetId="34" r:id="rId7"/>
    <sheet name="自用能耗成本" sheetId="24" r:id="rId8"/>
    <sheet name="基础信息抽查" sheetId="3" r:id="rId9"/>
    <sheet name="400知晓率" sheetId="20" r:id="rId10"/>
    <sheet name="重大事项扣罚" sheetId="30" r:id="rId11"/>
    <sheet name="单项奖惩" sheetId="32" r:id="rId12"/>
    <sheet name="投诉评分" sheetId="41" r:id="rId13"/>
    <sheet name="入户维修" sheetId="39" r:id="rId14"/>
  </sheets>
  <definedNames>
    <definedName name="_xlnm._FilterDatabase" localSheetId="11" hidden="1">单项奖惩!$A$3:$K$17</definedName>
    <definedName name="_xlnm._FilterDatabase" localSheetId="7" hidden="1">自用能耗成本!#REF!</definedName>
    <definedName name="_xlnm._FilterDatabase" localSheetId="5" hidden="1">投诉完成率!#REF!</definedName>
    <definedName name="_xlnm._FilterDatabase" localSheetId="8" hidden="1">基础信息抽查!#REF!</definedName>
    <definedName name="_xlnm._FilterDatabase" localSheetId="2" hidden="1">收费率!$A$3:$V$3</definedName>
    <definedName name="_xlnm.Print_Area" localSheetId="0">汇总!$A$33:$P$33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8" authorId="0">
      <text>
        <r>
          <rPr>
            <sz val="9"/>
            <rFont val="宋体"/>
            <charset val="134"/>
          </rPr>
          <t>年度</t>
        </r>
      </text>
    </comment>
    <comment ref="B9" authorId="0">
      <text>
        <r>
          <rPr>
            <sz val="9"/>
            <rFont val="宋体"/>
            <charset val="134"/>
          </rPr>
          <t xml:space="preserve">年度
</t>
        </r>
      </text>
    </comment>
    <comment ref="B11" authorId="0">
      <text>
        <r>
          <rPr>
            <sz val="9"/>
            <rFont val="宋体"/>
            <charset val="134"/>
          </rPr>
          <t xml:space="preserve">年度
</t>
        </r>
      </text>
    </comment>
    <comment ref="A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已按比例计算
</t>
        </r>
      </text>
    </comment>
    <comment ref="B25" authorId="0">
      <text>
        <r>
          <rPr>
            <sz val="9"/>
            <rFont val="宋体"/>
            <charset val="134"/>
          </rPr>
          <t>年度</t>
        </r>
      </text>
    </comment>
    <comment ref="B26" authorId="0">
      <text>
        <r>
          <rPr>
            <sz val="9"/>
            <rFont val="宋体"/>
            <charset val="134"/>
          </rPr>
          <t xml:space="preserve">年度
</t>
        </r>
      </text>
    </comment>
    <comment ref="B28" authorId="0">
      <text>
        <r>
          <rPr>
            <sz val="9"/>
            <rFont val="宋体"/>
            <charset val="134"/>
          </rPr>
          <t xml:space="preserve">年度
</t>
        </r>
      </text>
    </comment>
    <comment ref="A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已按比例计算
</t>
        </r>
      </text>
    </comment>
  </commentList>
</comments>
</file>

<file path=xl/comments2.xml><?xml version="1.0" encoding="utf-8"?>
<comments xmlns="http://schemas.openxmlformats.org/spreadsheetml/2006/main">
  <authors>
    <author>97487</author>
  </authors>
  <commentList>
    <comment ref="K21" authorId="0">
      <text>
        <r>
          <rPr>
            <b/>
            <sz val="9"/>
            <rFont val="宋体"/>
            <charset val="134"/>
          </rPr>
          <t>97487:</t>
        </r>
        <r>
          <rPr>
            <sz val="9"/>
            <rFont val="宋体"/>
            <charset val="134"/>
          </rPr>
          <t xml:space="preserve">
满意度调查，未核查基础信息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<sst xmlns="http://schemas.openxmlformats.org/spreadsheetml/2006/main" count="1253" uniqueCount="185">
  <si>
    <t>KPI</t>
  </si>
  <si>
    <t>权重</t>
  </si>
  <si>
    <t>北京</t>
  </si>
  <si>
    <t>贵阳</t>
  </si>
  <si>
    <t>昆明</t>
  </si>
  <si>
    <t>滨湖</t>
  </si>
  <si>
    <t>长沙</t>
  </si>
  <si>
    <t>闽江</t>
  </si>
  <si>
    <t>北城</t>
  </si>
  <si>
    <t>罗源</t>
  </si>
  <si>
    <t>连江</t>
  </si>
  <si>
    <t>宁波</t>
  </si>
  <si>
    <t>腾冲</t>
  </si>
  <si>
    <t>版纳</t>
  </si>
  <si>
    <t>阜阳</t>
  </si>
  <si>
    <t>经营收益（35%）</t>
  </si>
  <si>
    <t>当期收费率（15%）</t>
  </si>
  <si>
    <t>历欠收费率（10%）</t>
  </si>
  <si>
    <t>空间资源指标完成（10%）</t>
  </si>
  <si>
    <t>客户服务（35%）</t>
  </si>
  <si>
    <t>业主满意度（25%）</t>
  </si>
  <si>
    <t>投诉完成率（10%）</t>
  </si>
  <si>
    <t>工程管控（20%）</t>
  </si>
  <si>
    <t>设备设施管理（10%）</t>
  </si>
  <si>
    <t>自用能耗成本管控（10%）</t>
  </si>
  <si>
    <t>效率管理（10%）</t>
  </si>
  <si>
    <t>基础信息维护合格率（5%）</t>
  </si>
  <si>
    <t>400电话知晓率（5%）</t>
  </si>
  <si>
    <t>重大事项扣罚</t>
  </si>
  <si>
    <t>——</t>
  </si>
  <si>
    <t>总分</t>
  </si>
  <si>
    <t>排名</t>
  </si>
  <si>
    <t>仅保留1位小数</t>
  </si>
  <si>
    <t>工程管控（15%）</t>
  </si>
  <si>
    <t>客户信息维护（10%）</t>
  </si>
  <si>
    <t xml:space="preserve">2025年城市公司KPI考核指标得分         </t>
  </si>
  <si>
    <t>附件一</t>
  </si>
  <si>
    <t>品质服务精细化管理KPI</t>
  </si>
  <si>
    <t>序号</t>
  </si>
  <si>
    <t>类型</t>
  </si>
  <si>
    <t>KPI指标</t>
  </si>
  <si>
    <t>指标说明</t>
  </si>
  <si>
    <t>评分标准</t>
  </si>
  <si>
    <t>备注</t>
  </si>
  <si>
    <t>经营收益(35%)</t>
  </si>
  <si>
    <t>当期收费率</t>
  </si>
  <si>
    <t>当期收费率R=实收金额/应收金额*100%</t>
  </si>
  <si>
    <t>当期收费率R以综合费项全年收费率指标为基准线
①当R=基准线时，得100分
②当R＞基准线时，较基准线每上升1%加3分（封顶120分），得分=100+(R-基准线)/1%*3
③当R＜基准线时，较基准线每下降1%减2分，得分=100-(基准线-R)/1%*2</t>
  </si>
  <si>
    <t>含公司自建、外拓项目综合收费项（全口径），详见附件四</t>
  </si>
  <si>
    <t>历欠收费率</t>
  </si>
  <si>
    <t>历欠收费率R=实收金额/应收金额*100%</t>
  </si>
  <si>
    <t>历欠收费率R以全年欠费回款指标为基准线
①当R=基准线时，得100分
②当R＞基准线时，较基准线每上升1%加3分（封顶120分），得分=100+(R-基准线)/1%*3
③当R＜基准线时，较基准线每下降1%减2分，得分=100-(基准线-R)/1%*2</t>
  </si>
  <si>
    <t>含公司自建、外拓多业权项目（在管+撤场1年内），详见附件四</t>
  </si>
  <si>
    <t>空间资源指标完成率</t>
  </si>
  <si>
    <t>空间资源指标完成率R=实收金额/指标金额*100%</t>
  </si>
  <si>
    <t>空间资源指标完成率R以全年空间资源经营指标为基准线
①当R=基准线时，得100分
②当R＞基准线时，较基准线每上升1%加3分（封顶120分），得分=100+(R-基准线)/1%*3
③当R＜基准线时，较基准线每下降1%减2分，得分=100-(基准线-R)/1%*2</t>
  </si>
  <si>
    <t>自建项目，详见附件四</t>
  </si>
  <si>
    <t>客户服务(35%)</t>
  </si>
  <si>
    <t>业主满意度</t>
  </si>
  <si>
    <t>400调查年度客户满意度评分</t>
  </si>
  <si>
    <t>业主满意度R以各公司上年度得分为基准线：
①目标值≥75分，基础分100分；目标值＜75分，基础分90分
②目标值≥80分：实际值较目标值每上升1%加2分（封顶120分），每下降1%减1分
③75分≤目标值＜80分：实际值较目标值每上升1%加1分，每下降1%减2分
④目标值＜75分：实际值未达75分，较目标值每上升1%分差加分[（实际值-目标值）/（75-目标值）*10分]，每下降1%减3分；实际值达75分以上按②、③规则核算</t>
  </si>
  <si>
    <t>1、自建项目
2、客户满意度评分以400电话调查结果为准</t>
  </si>
  <si>
    <t>投诉处理
完成率</t>
  </si>
  <si>
    <t>投诉处理完成率R</t>
  </si>
  <si>
    <t>投诉处理完成率R以75%为基准线，得分=基础分*满意度系数
①基础分：投诉处理完成率按月度核算，每月R均75%(含）以上，得100分，单月不达标，-5分/次
②满意度系数：以年度投诉处理满意度确定系数，满意度≥50分时，系数1.0；40分≤满意度＜50分时，系数0.95；满意度＜40分时，系数0.9</t>
  </si>
  <si>
    <t>自建、外拓项目</t>
  </si>
  <si>
    <t>设备设施管理</t>
  </si>
  <si>
    <t>设施设备健康度R</t>
  </si>
  <si>
    <t>设备设施健康度R为公区设备运行稳定性及预防性维护执行情况的综合得分，按各二级指标实际值折算后加权计算</t>
  </si>
  <si>
    <t>1、自建项目
2、设备设施健康度二级指标细则详见《品质服务检核计划》（附件三）</t>
  </si>
  <si>
    <t>自用能耗成本管控</t>
  </si>
  <si>
    <t>自用水、电能耗实支成本管控</t>
  </si>
  <si>
    <t>自用能耗成本R以各公司上年度实际能耗成本支出为基准线：
①R≤25年实际成本，实际值较目标值每下降1%加1分（封顶120分），得分=100+(25年实际成本-R)/1%*1
①R＞25年实际成本，实际值较目标值每上升1%减1分，得分=100+(R-25年实际成本)/1%*1</t>
  </si>
  <si>
    <t>自建项目</t>
  </si>
  <si>
    <t>效率管理(10%)</t>
  </si>
  <si>
    <t>客户信息维护</t>
  </si>
  <si>
    <t>客户基础信息准确率与400知晓率</t>
  </si>
  <si>
    <t>基础信息准确率基准线95%，400知晓率基准线50%，两项指标权重1:1
①当R=基准线时，得100分
②当R＞基准线时，较基准线每上升1%加2分(封顶120分)，得分=100+(R-基准线)/1%*2
③当R＜基准线时，较基准线每下降1%减2分，得分=100-(基准线-R)/1%*2</t>
  </si>
  <si>
    <t>各城市公司当期收费率对比分析（综合）</t>
  </si>
  <si>
    <t>公司</t>
  </si>
  <si>
    <t>得分</t>
  </si>
  <si>
    <t>权重得分</t>
  </si>
  <si>
    <t>考核指标</t>
  </si>
  <si>
    <t>验算</t>
  </si>
  <si>
    <t>100-(基准线-R)/1%*2。</t>
  </si>
  <si>
    <t>合计</t>
  </si>
  <si>
    <t>集团</t>
  </si>
  <si>
    <t>各城市公司历欠收费率对比分析（综合)</t>
  </si>
  <si>
    <t>100-(基准线-R)/1%*3</t>
  </si>
  <si>
    <t>自-应</t>
  </si>
  <si>
    <t>自-实</t>
  </si>
  <si>
    <t>外-应</t>
  </si>
  <si>
    <t>外-实</t>
  </si>
  <si>
    <t>25.5收费率</t>
  </si>
  <si>
    <t>26.5收费率</t>
  </si>
  <si>
    <t>空间资源指标</t>
  </si>
  <si>
    <t>已入账</t>
  </si>
  <si>
    <t>完成率</t>
  </si>
  <si>
    <t>目标完成率</t>
  </si>
  <si>
    <t>25年完成</t>
  </si>
  <si>
    <t>26年预算</t>
  </si>
  <si>
    <t>孰高指标</t>
  </si>
  <si>
    <t>入账同比</t>
  </si>
  <si>
    <t>待入账</t>
  </si>
  <si>
    <t>待续签</t>
  </si>
  <si>
    <t>全年预估收入</t>
  </si>
  <si>
    <t>业绩缺口</t>
  </si>
  <si>
    <t>4月缺口</t>
  </si>
  <si>
    <t>较上月新增</t>
  </si>
  <si>
    <t>1个广告合同提前退租，替换商家协商中</t>
  </si>
  <si>
    <t>电梯广告退租</t>
  </si>
  <si>
    <t>小计</t>
  </si>
  <si>
    <t>5月签约合同已计入4月</t>
  </si>
  <si>
    <t>2个合同退租，26年金额6.5万</t>
  </si>
  <si>
    <t>2026年自建项目业主满意度</t>
  </si>
  <si>
    <t>自调问卷</t>
  </si>
  <si>
    <t>400电话调查</t>
  </si>
  <si>
    <t>问卷8:电话2</t>
  </si>
  <si>
    <t>问卷7:电话3</t>
  </si>
  <si>
    <t>问卷6:电话4</t>
  </si>
  <si>
    <t>满意度</t>
  </si>
  <si>
    <t>异常问卷</t>
  </si>
  <si>
    <t>问卷有效率</t>
  </si>
  <si>
    <t>扣罚金额</t>
  </si>
  <si>
    <t>扣罚星级</t>
  </si>
  <si>
    <t>总计</t>
  </si>
  <si>
    <t>投诉完成率=（本月办结总单量+上月未办结单量-本月不满意单量-上月转本月办结不满意单量）/（投诉总单量+上月未办结单量）</t>
  </si>
  <si>
    <t>2026年投诉完成率（数据为呼叫中心提供）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</si>
  <si>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</si>
  <si>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</si>
  <si>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</si>
  <si>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</si>
  <si>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</si>
  <si>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</si>
  <si>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</si>
  <si>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</si>
  <si>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</si>
  <si>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</si>
  <si>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</si>
  <si>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</si>
  <si>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年度满意度</t>
  </si>
  <si>
    <t>系数</t>
  </si>
  <si>
    <t>2026投诉汇总</t>
  </si>
  <si>
    <t>2026投诉回访不满意工单</t>
  </si>
  <si>
    <t>2026投诉回访满意工单</t>
  </si>
  <si>
    <t>2026投诉回访接通总量</t>
  </si>
  <si>
    <t>2026未按时办结投诉</t>
  </si>
  <si>
    <t>2026投诉满意度</t>
  </si>
  <si>
    <t>巡检完成率</t>
  </si>
  <si>
    <t>维保完成率</t>
  </si>
  <si>
    <t>现场巡查系数</t>
  </si>
  <si>
    <t>合计收入</t>
  </si>
  <si>
    <t>合计成本</t>
  </si>
  <si>
    <t>盈亏率</t>
  </si>
  <si>
    <t>24盈亏率</t>
  </si>
  <si>
    <t>同比差异</t>
  </si>
  <si>
    <t>修正情况</t>
  </si>
  <si>
    <t>2026年基础信息准确率</t>
  </si>
  <si>
    <t>年度均值</t>
  </si>
  <si>
    <t>均值</t>
  </si>
  <si>
    <t>2025年基础信息准确率</t>
  </si>
  <si>
    <t>2025年知晓400电话比例</t>
  </si>
  <si>
    <t>2024年重大事项扣罚情况（单项奖惩）</t>
  </si>
  <si>
    <t>扣分合计</t>
  </si>
  <si>
    <t>2025年单项奖惩统计台账</t>
  </si>
  <si>
    <t>更新日期：2025年11月13日</t>
  </si>
  <si>
    <t>日期</t>
  </si>
  <si>
    <t>奖惩类型</t>
  </si>
  <si>
    <t>奖惩事由</t>
  </si>
  <si>
    <t>奖励星级</t>
  </si>
  <si>
    <t>处罚星级</t>
  </si>
  <si>
    <t>奖惩金额/万元</t>
  </si>
  <si>
    <t>KPI扣分</t>
  </si>
  <si>
    <t>文件名称</t>
  </si>
  <si>
    <t>1分</t>
  </si>
  <si>
    <t>2分</t>
  </si>
  <si>
    <t>3分</t>
  </si>
  <si>
    <t>4分</t>
  </si>
  <si>
    <t>5分</t>
  </si>
  <si>
    <t>6分</t>
  </si>
  <si>
    <t>7分</t>
  </si>
  <si>
    <t>8分</t>
  </si>
  <si>
    <t>9分</t>
  </si>
  <si>
    <t>10分</t>
  </si>
  <si>
    <t>2026报修总单量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</si>
</sst>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_ "/>
    <numFmt numFmtId="179" formatCode="0.0_);[Red]\(0.0\)"/>
    <numFmt numFmtId="180" formatCode="0_);[Red]\(0\)"/>
    <numFmt numFmtId="181" formatCode="0.0%"/>
    <numFmt numFmtId="182" formatCode="0.0_ ;[Red]\-0.0\ "/>
  </numFmts>
  <fonts count="71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theme="1"/>
      <name val="创艺简楷体"/>
      <charset val="134"/>
    </font>
    <font>
      <sz val="16"/>
      <color rgb="FF000000"/>
      <name val="创艺简标宋"/>
      <charset val="134"/>
    </font>
    <font>
      <sz val="11"/>
      <color rgb="FF000000"/>
      <name val="创艺简楷体"/>
      <charset val="134"/>
    </font>
    <font>
      <b/>
      <sz val="11"/>
      <color rgb="FF000000"/>
      <name val="创艺简楷体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1"/>
      <name val="微软雅黑"/>
      <charset val="134"/>
    </font>
    <font>
      <sz val="9.75"/>
      <name val="Consolas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8"/>
      <color theme="1"/>
      <name val="微软雅黑"/>
      <charset val="134"/>
    </font>
    <font>
      <sz val="9"/>
      <name val="微软雅黑"/>
      <charset val="134"/>
    </font>
    <font>
      <b/>
      <sz val="10"/>
      <color rgb="FFFF0000"/>
      <name val="微软雅黑"/>
      <charset val="134"/>
    </font>
    <font>
      <sz val="12"/>
      <name val="创艺简楷体"/>
      <charset val="134"/>
    </font>
    <font>
      <sz val="12"/>
      <name val="楷体"/>
      <charset val="134"/>
    </font>
    <font>
      <sz val="14"/>
      <name val="创艺简楷体"/>
      <charset val="134"/>
    </font>
    <font>
      <sz val="11"/>
      <name val="宋体"/>
      <charset val="134"/>
    </font>
    <font>
      <sz val="18"/>
      <name val="创艺简标宋"/>
      <charset val="134"/>
    </font>
    <font>
      <b/>
      <sz val="12"/>
      <name val="创艺简楷体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0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0061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i/>
      <sz val="12"/>
      <color rgb="FF7F7F7F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FA7D00"/>
      <name val="等线"/>
      <charset val="134"/>
      <scheme val="minor"/>
    </font>
    <font>
      <sz val="12"/>
      <color rgb="FF3F3F76"/>
      <name val="等线"/>
      <charset val="134"/>
      <scheme val="minor"/>
    </font>
    <font>
      <sz val="11"/>
      <color indexed="8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914548173467"/>
        <bgColor indexed="64"/>
      </patternFill>
    </fill>
  </fills>
  <borders count="2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n">
        <color rgb="FFBB1C22"/>
      </top>
      <bottom style="medium">
        <color rgb="FFFFFFFF"/>
      </bottom>
      <diagonal/>
    </border>
    <border>
      <left style="medium">
        <color rgb="FFFFFFFF"/>
      </left>
      <right style="thin">
        <color rgb="FFBB1C22"/>
      </right>
      <top style="thin">
        <color rgb="FFBB1C22"/>
      </top>
      <bottom style="medium">
        <color rgb="FFFFFFFF"/>
      </bottom>
      <diagonal/>
    </border>
    <border>
      <left/>
      <right/>
      <top style="medium">
        <color rgb="FFFFFFFF"/>
      </top>
      <bottom style="thin">
        <color rgb="FFBB1C22"/>
      </bottom>
      <diagonal/>
    </border>
    <border>
      <left/>
      <right/>
      <top style="thin">
        <color rgb="FFBB1C22"/>
      </top>
      <bottom style="thin">
        <color rgb="FFBB1C22"/>
      </bottom>
      <diagonal/>
    </border>
    <border>
      <left style="thin">
        <color rgb="FFBB1C22"/>
      </left>
      <right/>
      <top style="thin">
        <color rgb="FFBB1C22"/>
      </top>
      <bottom style="thin">
        <color rgb="FFBB1C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4" borderId="16" applyNumberFormat="0" applyAlignment="0" applyProtection="0">
      <alignment vertical="center"/>
    </xf>
    <xf numFmtId="0" fontId="45" fillId="4" borderId="17" applyNumberFormat="0" applyAlignment="0" applyProtection="0">
      <alignment vertical="center"/>
    </xf>
    <xf numFmtId="0" fontId="46" fillId="4" borderId="16" applyNumberFormat="0" applyAlignment="0" applyProtection="0">
      <alignment vertical="center"/>
    </xf>
    <xf numFmtId="0" fontId="47" fillId="15" borderId="18" applyNumberFormat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7" fillId="4" borderId="16" applyNumberFormat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8" fillId="4" borderId="17" applyNumberFormat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6" fillId="0" borderId="0">
      <alignment vertical="center"/>
    </xf>
    <xf numFmtId="0" fontId="61" fillId="16" borderId="0" applyNumberFormat="0" applyBorder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3" fillId="15" borderId="18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14" borderId="16" applyNumberFormat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13" borderId="13" applyNumberFormat="0" applyFont="0" applyAlignment="0" applyProtection="0">
      <alignment vertical="center"/>
    </xf>
    <xf numFmtId="0" fontId="68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17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7" fontId="8" fillId="6" borderId="6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0" fontId="12" fillId="0" borderId="0" xfId="3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0" fontId="14" fillId="7" borderId="6" xfId="0" applyNumberFormat="1" applyFont="1" applyFill="1" applyBorder="1" applyAlignment="1">
      <alignment horizontal="center" vertical="center"/>
    </xf>
    <xf numFmtId="10" fontId="6" fillId="0" borderId="6" xfId="0" applyNumberFormat="1" applyFont="1" applyFill="1" applyBorder="1" applyAlignment="1">
      <alignment horizontal="center" vertical="center"/>
    </xf>
    <xf numFmtId="10" fontId="6" fillId="0" borderId="6" xfId="0" applyNumberFormat="1" applyFont="1" applyBorder="1" applyAlignment="1">
      <alignment horizontal="center" vertical="center"/>
    </xf>
    <xf numFmtId="10" fontId="15" fillId="0" borderId="6" xfId="3" applyNumberFormat="1" applyFont="1" applyFill="1" applyBorder="1" applyAlignment="1">
      <alignment horizontal="center" vertical="center" wrapText="1" readingOrder="1"/>
    </xf>
    <xf numFmtId="10" fontId="6" fillId="0" borderId="6" xfId="3" applyNumberFormat="1" applyFont="1" applyBorder="1" applyAlignment="1">
      <alignment horizontal="center" vertical="center"/>
    </xf>
    <xf numFmtId="178" fontId="6" fillId="0" borderId="6" xfId="0" applyNumberFormat="1" applyFont="1" applyFill="1" applyBorder="1" applyAlignment="1">
      <alignment horizontal="center" vertical="center"/>
    </xf>
    <xf numFmtId="10" fontId="6" fillId="5" borderId="6" xfId="3" applyNumberFormat="1" applyFont="1" applyFill="1" applyBorder="1" applyAlignment="1">
      <alignment horizontal="center" vertical="center"/>
    </xf>
    <xf numFmtId="10" fontId="6" fillId="0" borderId="6" xfId="3" applyNumberFormat="1" applyFont="1" applyFill="1" applyBorder="1" applyAlignment="1">
      <alignment horizontal="center" vertical="center"/>
    </xf>
    <xf numFmtId="10" fontId="6" fillId="0" borderId="0" xfId="3" applyNumberFormat="1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0" fontId="6" fillId="0" borderId="9" xfId="3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0" fontId="6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9" fontId="6" fillId="0" borderId="0" xfId="3" applyNumberFormat="1" applyFont="1" applyAlignment="1">
      <alignment horizontal="center" vertical="center"/>
    </xf>
    <xf numFmtId="10" fontId="6" fillId="5" borderId="11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0" xfId="0" applyFont="1"/>
    <xf numFmtId="0" fontId="6" fillId="0" borderId="6" xfId="87" applyFont="1" applyBorder="1" applyAlignment="1">
      <alignment horizontal="center" vertical="center"/>
    </xf>
    <xf numFmtId="2" fontId="6" fillId="0" borderId="6" xfId="0" applyNumberFormat="1" applyFont="1" applyFill="1" applyBorder="1" applyAlignment="1">
      <alignment horizontal="center" vertical="center"/>
    </xf>
    <xf numFmtId="57" fontId="16" fillId="9" borderId="6" xfId="0" applyNumberFormat="1" applyFont="1" applyFill="1" applyBorder="1" applyAlignment="1">
      <alignment horizontal="center" vertical="center" wrapText="1" readingOrder="1"/>
    </xf>
    <xf numFmtId="9" fontId="6" fillId="0" borderId="6" xfId="3" applyFont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 wrapText="1" readingOrder="1"/>
    </xf>
    <xf numFmtId="178" fontId="16" fillId="5" borderId="6" xfId="0" applyNumberFormat="1" applyFont="1" applyFill="1" applyBorder="1" applyAlignment="1">
      <alignment horizontal="center" vertical="center" wrapText="1" readingOrder="1"/>
    </xf>
    <xf numFmtId="179" fontId="6" fillId="0" borderId="6" xfId="0" applyNumberFormat="1" applyFont="1" applyBorder="1" applyAlignment="1">
      <alignment horizontal="center" vertical="center"/>
    </xf>
    <xf numFmtId="177" fontId="6" fillId="0" borderId="0" xfId="0" applyNumberFormat="1" applyFont="1" applyFill="1" applyAlignment="1">
      <alignment vertical="center"/>
    </xf>
    <xf numFmtId="9" fontId="6" fillId="0" borderId="6" xfId="3" applyNumberFormat="1" applyFont="1" applyBorder="1" applyAlignment="1">
      <alignment horizontal="center" vertical="center"/>
    </xf>
    <xf numFmtId="9" fontId="6" fillId="0" borderId="0" xfId="0" applyNumberFormat="1" applyFont="1" applyFill="1" applyAlignment="1">
      <alignment vertical="center"/>
    </xf>
    <xf numFmtId="178" fontId="16" fillId="9" borderId="6" xfId="0" applyNumberFormat="1" applyFont="1" applyFill="1" applyBorder="1" applyAlignment="1">
      <alignment horizontal="center" vertical="center" wrapText="1" readingOrder="1"/>
    </xf>
    <xf numFmtId="9" fontId="6" fillId="0" borderId="0" xfId="3" applyFont="1">
      <alignment vertical="center"/>
    </xf>
    <xf numFmtId="180" fontId="6" fillId="0" borderId="6" xfId="0" applyNumberFormat="1" applyFont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10" fontId="12" fillId="0" borderId="6" xfId="3" applyNumberFormat="1" applyFont="1" applyBorder="1" applyAlignment="1">
      <alignment horizontal="center" vertical="center"/>
    </xf>
    <xf numFmtId="10" fontId="12" fillId="0" borderId="6" xfId="3" applyNumberFormat="1" applyFont="1" applyFill="1" applyBorder="1" applyAlignment="1">
      <alignment horizontal="center" vertical="center"/>
    </xf>
    <xf numFmtId="178" fontId="12" fillId="0" borderId="6" xfId="0" applyNumberFormat="1" applyFont="1" applyBorder="1" applyAlignment="1">
      <alignment horizontal="center" vertical="center"/>
    </xf>
    <xf numFmtId="178" fontId="12" fillId="0" borderId="6" xfId="0" applyNumberFormat="1" applyFont="1" applyFill="1" applyBorder="1" applyAlignment="1">
      <alignment horizontal="center" vertical="center"/>
    </xf>
    <xf numFmtId="179" fontId="12" fillId="0" borderId="6" xfId="3" applyNumberFormat="1" applyFont="1" applyBorder="1" applyAlignment="1">
      <alignment horizontal="center" vertical="center"/>
    </xf>
    <xf numFmtId="177" fontId="12" fillId="0" borderId="6" xfId="0" applyNumberFormat="1" applyFont="1" applyBorder="1" applyAlignment="1">
      <alignment horizontal="center" vertical="center"/>
    </xf>
    <xf numFmtId="0" fontId="18" fillId="0" borderId="0" xfId="0" applyFont="1"/>
    <xf numFmtId="10" fontId="12" fillId="0" borderId="6" xfId="0" applyNumberFormat="1" applyFont="1" applyBorder="1" applyAlignment="1">
      <alignment horizontal="center" vertical="center"/>
    </xf>
    <xf numFmtId="10" fontId="12" fillId="0" borderId="6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 readingOrder="1"/>
    </xf>
    <xf numFmtId="0" fontId="19" fillId="3" borderId="2" xfId="0" applyFont="1" applyFill="1" applyBorder="1" applyAlignment="1">
      <alignment horizontal="center" vertical="center" wrapText="1" readingOrder="1"/>
    </xf>
    <xf numFmtId="0" fontId="20" fillId="0" borderId="3" xfId="0" applyFont="1" applyBorder="1" applyAlignment="1">
      <alignment horizontal="center" vertical="center" wrapText="1" readingOrder="1"/>
    </xf>
    <xf numFmtId="0" fontId="20" fillId="0" borderId="4" xfId="0" applyFont="1" applyBorder="1" applyAlignment="1">
      <alignment horizontal="center" vertical="center" wrapText="1" readingOrder="1"/>
    </xf>
    <xf numFmtId="0" fontId="21" fillId="4" borderId="5" xfId="0" applyFont="1" applyFill="1" applyBorder="1" applyAlignment="1">
      <alignment horizontal="center" vertical="center" wrapText="1" readingOrder="1"/>
    </xf>
    <xf numFmtId="0" fontId="21" fillId="4" borderId="4" xfId="0" applyFont="1" applyFill="1" applyBorder="1" applyAlignment="1">
      <alignment horizontal="center" vertical="center" wrapText="1" readingOrder="1"/>
    </xf>
    <xf numFmtId="176" fontId="12" fillId="0" borderId="0" xfId="0" applyNumberFormat="1" applyFont="1" applyAlignment="1">
      <alignment horizontal="center" vertical="center"/>
    </xf>
    <xf numFmtId="10" fontId="12" fillId="0" borderId="0" xfId="3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9" fontId="12" fillId="0" borderId="0" xfId="3" applyFont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2" fillId="0" borderId="0" xfId="3" applyNumberFormat="1" applyFont="1" applyAlignment="1">
      <alignment horizontal="center" vertical="center"/>
    </xf>
    <xf numFmtId="179" fontId="20" fillId="0" borderId="3" xfId="3" applyNumberFormat="1" applyFont="1" applyBorder="1" applyAlignment="1">
      <alignment horizontal="center" vertical="center" wrapText="1" readingOrder="1"/>
    </xf>
    <xf numFmtId="179" fontId="20" fillId="0" borderId="4" xfId="3" applyNumberFormat="1" applyFont="1" applyBorder="1" applyAlignment="1">
      <alignment horizontal="center" vertical="center" wrapText="1" readingOrder="1"/>
    </xf>
    <xf numFmtId="179" fontId="21" fillId="4" borderId="4" xfId="3" applyNumberFormat="1" applyFont="1" applyFill="1" applyBorder="1" applyAlignment="1">
      <alignment horizontal="center" vertical="center" wrapText="1" readingOrder="1"/>
    </xf>
    <xf numFmtId="0" fontId="7" fillId="10" borderId="6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0" fontId="6" fillId="0" borderId="6" xfId="3" applyNumberFormat="1" applyFont="1" applyFill="1" applyBorder="1" applyAlignment="1" applyProtection="1">
      <alignment horizontal="center" vertical="center"/>
    </xf>
    <xf numFmtId="10" fontId="6" fillId="11" borderId="6" xfId="3" applyNumberFormat="1" applyFont="1" applyFill="1" applyBorder="1" applyAlignment="1" applyProtection="1">
      <alignment horizontal="center" vertical="center"/>
    </xf>
    <xf numFmtId="178" fontId="6" fillId="6" borderId="6" xfId="0" applyNumberFormat="1" applyFont="1" applyFill="1" applyBorder="1" applyAlignment="1">
      <alignment horizontal="center" vertical="center"/>
    </xf>
    <xf numFmtId="178" fontId="6" fillId="0" borderId="0" xfId="3" applyNumberFormat="1" applyFont="1" applyAlignment="1">
      <alignment horizontal="center" vertical="center"/>
    </xf>
    <xf numFmtId="10" fontId="7" fillId="0" borderId="6" xfId="3" applyNumberFormat="1" applyFont="1" applyFill="1" applyBorder="1" applyAlignment="1" applyProtection="1">
      <alignment horizontal="center" vertical="center"/>
    </xf>
    <xf numFmtId="10" fontId="7" fillId="11" borderId="6" xfId="3" applyNumberFormat="1" applyFont="1" applyFill="1" applyBorder="1" applyAlignment="1" applyProtection="1">
      <alignment horizontal="center" vertical="center"/>
    </xf>
    <xf numFmtId="0" fontId="16" fillId="0" borderId="6" xfId="0" applyFont="1" applyFill="1" applyBorder="1" applyAlignment="1">
      <alignment horizontal="center" vertical="center" wrapText="1"/>
    </xf>
    <xf numFmtId="181" fontId="16" fillId="0" borderId="6" xfId="0" applyNumberFormat="1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2" fillId="0" borderId="0" xfId="0" applyFont="1"/>
    <xf numFmtId="177" fontId="16" fillId="9" borderId="6" xfId="3" applyNumberFormat="1" applyFont="1" applyFill="1" applyBorder="1" applyAlignment="1">
      <alignment horizontal="center" vertical="center" wrapText="1" readingOrder="1"/>
    </xf>
    <xf numFmtId="0" fontId="6" fillId="0" borderId="0" xfId="0" applyFont="1" applyBorder="1" applyAlignment="1">
      <alignment horizontal="center" vertical="center"/>
    </xf>
    <xf numFmtId="177" fontId="15" fillId="9" borderId="6" xfId="3" applyNumberFormat="1" applyFont="1" applyFill="1" applyBorder="1" applyAlignment="1">
      <alignment horizontal="center" vertical="center" wrapText="1" readingOrder="1"/>
    </xf>
    <xf numFmtId="177" fontId="6" fillId="0" borderId="6" xfId="3" applyNumberFormat="1" applyFont="1" applyFill="1" applyBorder="1" applyAlignment="1">
      <alignment horizontal="center" vertical="center" wrapText="1" readingOrder="1"/>
    </xf>
    <xf numFmtId="177" fontId="15" fillId="0" borderId="6" xfId="3" applyNumberFormat="1" applyFont="1" applyFill="1" applyBorder="1" applyAlignment="1">
      <alignment horizontal="center" vertical="center" wrapText="1" readingOrder="1"/>
    </xf>
    <xf numFmtId="10" fontId="6" fillId="0" borderId="0" xfId="3" applyNumberFormat="1" applyFont="1" applyFill="1" applyAlignment="1">
      <alignment horizontal="center" vertical="center"/>
    </xf>
    <xf numFmtId="0" fontId="16" fillId="0" borderId="6" xfId="0" applyFont="1" applyFill="1" applyBorder="1" applyAlignment="1">
      <alignment horizontal="center" vertical="center" wrapText="1" readingOrder="1"/>
    </xf>
    <xf numFmtId="178" fontId="16" fillId="0" borderId="6" xfId="0" applyNumberFormat="1" applyFont="1" applyFill="1" applyBorder="1" applyAlignment="1">
      <alignment horizontal="center" vertical="center" wrapText="1" readingOrder="1"/>
    </xf>
    <xf numFmtId="182" fontId="6" fillId="0" borderId="6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 wrapText="1" readingOrder="1"/>
    </xf>
    <xf numFmtId="0" fontId="23" fillId="0" borderId="6" xfId="0" applyFont="1" applyFill="1" applyBorder="1" applyAlignment="1">
      <alignment horizontal="center" vertical="center" wrapText="1" readingOrder="1"/>
    </xf>
    <xf numFmtId="9" fontId="6" fillId="0" borderId="6" xfId="3" applyFont="1" applyFill="1" applyBorder="1" applyAlignment="1">
      <alignment horizontal="center" vertical="center"/>
    </xf>
    <xf numFmtId="0" fontId="12" fillId="0" borderId="0" xfId="0" applyFont="1" applyFill="1"/>
    <xf numFmtId="0" fontId="1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178" fontId="5" fillId="0" borderId="6" xfId="0" applyNumberFormat="1" applyFont="1" applyFill="1" applyBorder="1" applyAlignment="1">
      <alignment horizontal="center" vertical="center"/>
    </xf>
    <xf numFmtId="176" fontId="24" fillId="0" borderId="6" xfId="0" applyNumberFormat="1" applyFont="1" applyFill="1" applyBorder="1" applyAlignment="1">
      <alignment horizontal="left" vertical="center"/>
    </xf>
    <xf numFmtId="176" fontId="24" fillId="0" borderId="6" xfId="0" applyNumberFormat="1" applyFont="1" applyFill="1" applyBorder="1" applyAlignment="1">
      <alignment horizontal="left" vertical="center" wrapText="1"/>
    </xf>
    <xf numFmtId="176" fontId="5" fillId="12" borderId="6" xfId="0" applyNumberFormat="1" applyFont="1" applyFill="1" applyBorder="1" applyAlignment="1">
      <alignment horizontal="center" vertical="center"/>
    </xf>
    <xf numFmtId="176" fontId="25" fillId="0" borderId="6" xfId="0" applyNumberFormat="1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176" fontId="1" fillId="10" borderId="6" xfId="0" applyNumberFormat="1" applyFont="1" applyFill="1" applyBorder="1" applyAlignment="1">
      <alignment horizontal="center" vertical="center"/>
    </xf>
    <xf numFmtId="176" fontId="24" fillId="10" borderId="6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 readingOrder="1"/>
    </xf>
    <xf numFmtId="0" fontId="26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0" fontId="15" fillId="9" borderId="6" xfId="3" applyNumberFormat="1" applyFont="1" applyFill="1" applyBorder="1" applyAlignment="1">
      <alignment horizontal="center" vertical="center" wrapText="1" readingOrder="1"/>
    </xf>
    <xf numFmtId="178" fontId="6" fillId="0" borderId="0" xfId="0" applyNumberFormat="1" applyFont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27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9" fillId="0" borderId="0" xfId="0" applyFont="1" applyFill="1" applyAlignment="1">
      <alignment vertical="center" wrapText="1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 wrapText="1"/>
    </xf>
    <xf numFmtId="0" fontId="31" fillId="0" borderId="0" xfId="0" applyFont="1" applyFill="1" applyAlignment="1">
      <alignment horizontal="center" vertical="center" wrapText="1"/>
    </xf>
    <xf numFmtId="0" fontId="32" fillId="0" borderId="12" xfId="0" applyFont="1" applyFill="1" applyBorder="1" applyAlignment="1">
      <alignment horizontal="center" vertical="center" wrapText="1"/>
    </xf>
    <xf numFmtId="0" fontId="32" fillId="0" borderId="6" xfId="0" applyFont="1" applyFill="1" applyBorder="1" applyAlignment="1">
      <alignment horizontal="center" vertical="center" wrapText="1"/>
    </xf>
    <xf numFmtId="0" fontId="27" fillId="0" borderId="6" xfId="0" applyFont="1" applyFill="1" applyBorder="1" applyAlignment="1">
      <alignment horizontal="center" vertical="center" wrapText="1"/>
    </xf>
    <xf numFmtId="9" fontId="27" fillId="0" borderId="6" xfId="0" applyNumberFormat="1" applyFont="1" applyFill="1" applyBorder="1" applyAlignment="1">
      <alignment horizontal="center" vertical="center" wrapText="1"/>
    </xf>
    <xf numFmtId="0" fontId="27" fillId="0" borderId="6" xfId="0" applyFont="1" applyFill="1" applyBorder="1" applyAlignment="1">
      <alignment horizontal="left" vertical="center" wrapText="1"/>
    </xf>
    <xf numFmtId="0" fontId="27" fillId="0" borderId="6" xfId="0" applyFont="1" applyFill="1" applyBorder="1" applyAlignment="1">
      <alignment vertical="center" wrapText="1"/>
    </xf>
    <xf numFmtId="0" fontId="27" fillId="0" borderId="6" xfId="0" applyFont="1" applyFill="1" applyBorder="1" applyAlignment="1">
      <alignment horizontal="justify" vertical="center" wrapText="1"/>
    </xf>
    <xf numFmtId="0" fontId="12" fillId="0" borderId="0" xfId="0" applyFont="1" applyAlignment="1">
      <alignment vertical="center"/>
    </xf>
    <xf numFmtId="0" fontId="33" fillId="11" borderId="6" xfId="0" applyFont="1" applyFill="1" applyBorder="1" applyAlignment="1">
      <alignment horizontal="center" vertical="center" wrapText="1" readingOrder="1"/>
    </xf>
    <xf numFmtId="0" fontId="7" fillId="11" borderId="6" xfId="0" applyFont="1" applyFill="1" applyBorder="1" applyAlignment="1">
      <alignment horizontal="center" vertical="center" wrapText="1" readingOrder="1"/>
    </xf>
    <xf numFmtId="0" fontId="12" fillId="0" borderId="0" xfId="0" applyFont="1" applyFill="1" applyAlignment="1">
      <alignment vertical="center"/>
    </xf>
    <xf numFmtId="0" fontId="7" fillId="0" borderId="6" xfId="0" applyFont="1" applyBorder="1" applyAlignment="1">
      <alignment horizontal="center" vertical="center" wrapText="1" readingOrder="1"/>
    </xf>
    <xf numFmtId="9" fontId="6" fillId="0" borderId="6" xfId="0" applyNumberFormat="1" applyFont="1" applyBorder="1" applyAlignment="1">
      <alignment horizontal="center" vertical="center" wrapText="1" readingOrder="1"/>
    </xf>
    <xf numFmtId="179" fontId="6" fillId="0" borderId="6" xfId="0" applyNumberFormat="1" applyFont="1" applyBorder="1" applyAlignment="1">
      <alignment horizontal="center" vertical="center" wrapText="1" readingOrder="1"/>
    </xf>
    <xf numFmtId="9" fontId="6" fillId="0" borderId="6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78" fontId="12" fillId="0" borderId="0" xfId="0" applyNumberFormat="1" applyFont="1" applyAlignment="1">
      <alignment vertical="center"/>
    </xf>
    <xf numFmtId="0" fontId="35" fillId="0" borderId="0" xfId="0" applyFont="1" applyAlignment="1">
      <alignment horizontal="center" vertical="center"/>
    </xf>
  </cellXfs>
  <cellStyles count="9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着色 2 2" xfId="49"/>
    <cellStyle name="20% - 着色 6 2" xfId="50"/>
    <cellStyle name="40% - 着色 4 2" xfId="51"/>
    <cellStyle name="计算 2" xfId="52"/>
    <cellStyle name="40% - 着色 3 2" xfId="53"/>
    <cellStyle name="40% - 着色 2 2" xfId="54"/>
    <cellStyle name="20% - 着色 1 2" xfId="55"/>
    <cellStyle name="40% - 着色 5 2" xfId="56"/>
    <cellStyle name="20% - 着色 2 2" xfId="57"/>
    <cellStyle name="输出 2" xfId="58"/>
    <cellStyle name="60% - 着色 6 2" xfId="59"/>
    <cellStyle name="着色 5 2" xfId="60"/>
    <cellStyle name="适中 2" xfId="61"/>
    <cellStyle name="20% - 着色 3 2" xfId="62"/>
    <cellStyle name="20% - 着色 4 2" xfId="63"/>
    <cellStyle name="着色 1 2" xfId="64"/>
    <cellStyle name="20% - 着色 5 2" xfId="65"/>
    <cellStyle name="40% - 着色 1 2" xfId="66"/>
    <cellStyle name="40% - 着色 6 2" xfId="67"/>
    <cellStyle name="60% - 着色 1 2" xfId="68"/>
    <cellStyle name="60% - 着色 2 2" xfId="69"/>
    <cellStyle name="60% - 着色 3 2" xfId="70"/>
    <cellStyle name="60% - 着色 4 2" xfId="71"/>
    <cellStyle name="60% - 着色 5 2" xfId="72"/>
    <cellStyle name="差 2" xfId="73"/>
    <cellStyle name="常规 2" xfId="74"/>
    <cellStyle name="好 2" xfId="75"/>
    <cellStyle name="汇总 2" xfId="76"/>
    <cellStyle name="检查单元格 2" xfId="77"/>
    <cellStyle name="解释性文本 2" xfId="78"/>
    <cellStyle name="警告文本 2" xfId="79"/>
    <cellStyle name="链接单元格 2" xfId="80"/>
    <cellStyle name="输入 2" xfId="81"/>
    <cellStyle name="着色 3 2" xfId="82"/>
    <cellStyle name="着色 4 2" xfId="83"/>
    <cellStyle name="着色 6 2" xfId="84"/>
    <cellStyle name="注释 2" xfId="85"/>
    <cellStyle name="常规 4 2" xfId="86"/>
    <cellStyle name="常规 5" xfId="87"/>
    <cellStyle name="常规 6" xfId="88"/>
    <cellStyle name="百分比 2" xfId="89"/>
    <cellStyle name="常规 18" xfId="90"/>
    <cellStyle name="Normal" xfId="9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F8F76"/>
      <color rgb="00FDA068"/>
      <color rgb="00FF5050"/>
      <color rgb="00F79E6D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eetMetadata" Target="metadata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customXml" Target="../customXml/item8.xml"/><Relationship Id="rId21" Type="http://schemas.openxmlformats.org/officeDocument/2006/relationships/customXml" Target="../customXml/item7.xml"/><Relationship Id="rId20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5.xml"/><Relationship Id="rId18" Type="http://schemas.openxmlformats.org/officeDocument/2006/relationships/customXml" Target="../customXml/item4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17</xdr:row>
      <xdr:rowOff>123825</xdr:rowOff>
    </xdr:from>
    <xdr:to>
      <xdr:col>14</xdr:col>
      <xdr:colOff>628650</xdr:colOff>
      <xdr:row>22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43900" y="4410075"/>
          <a:ext cx="5791200" cy="1028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201295</xdr:colOff>
      <xdr:row>17</xdr:row>
      <xdr:rowOff>108585</xdr:rowOff>
    </xdr:from>
    <xdr:to>
      <xdr:col>22</xdr:col>
      <xdr:colOff>646430</xdr:colOff>
      <xdr:row>22</xdr:row>
      <xdr:rowOff>140970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1595" y="3651885"/>
          <a:ext cx="6896735" cy="1089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2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3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4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5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6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7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8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9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0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1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12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22</xdr:row>
      <xdr:rowOff>247015</xdr:rowOff>
    </xdr:to>
    <xdr:sp>
      <xdr:nvSpPr>
        <xdr:cNvPr id="13" name="Host Control  22" hidden="1"/>
        <xdr:cNvSpPr/>
      </xdr:nvSpPr>
      <xdr:spPr>
        <a:xfrm>
          <a:off x="24574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23</xdr:row>
      <xdr:rowOff>8890</xdr:rowOff>
    </xdr:to>
    <xdr:sp>
      <xdr:nvSpPr>
        <xdr:cNvPr id="14" name="Host Control  32" hidden="1"/>
        <xdr:cNvSpPr/>
      </xdr:nvSpPr>
      <xdr:spPr>
        <a:xfrm>
          <a:off x="24574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5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16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7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18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19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20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21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22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23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24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25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22</xdr:row>
      <xdr:rowOff>247015</xdr:rowOff>
    </xdr:to>
    <xdr:sp>
      <xdr:nvSpPr>
        <xdr:cNvPr id="26" name="Host Control  22" hidden="1"/>
        <xdr:cNvSpPr/>
      </xdr:nvSpPr>
      <xdr:spPr>
        <a:xfrm>
          <a:off x="24574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23</xdr:row>
      <xdr:rowOff>8890</xdr:rowOff>
    </xdr:to>
    <xdr:sp>
      <xdr:nvSpPr>
        <xdr:cNvPr id="27" name="Host Control  32" hidden="1"/>
        <xdr:cNvSpPr/>
      </xdr:nvSpPr>
      <xdr:spPr>
        <a:xfrm>
          <a:off x="24574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28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29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30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31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32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33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34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35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36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37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38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22</xdr:row>
      <xdr:rowOff>247015</xdr:rowOff>
    </xdr:to>
    <xdr:sp>
      <xdr:nvSpPr>
        <xdr:cNvPr id="39" name="Host Control  22" hidden="1"/>
        <xdr:cNvSpPr/>
      </xdr:nvSpPr>
      <xdr:spPr>
        <a:xfrm>
          <a:off x="24574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23</xdr:row>
      <xdr:rowOff>8890</xdr:rowOff>
    </xdr:to>
    <xdr:sp>
      <xdr:nvSpPr>
        <xdr:cNvPr id="40" name="Host Control  32" hidden="1"/>
        <xdr:cNvSpPr/>
      </xdr:nvSpPr>
      <xdr:spPr>
        <a:xfrm>
          <a:off x="24574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41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42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43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44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45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46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47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48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49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50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51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22</xdr:row>
      <xdr:rowOff>247015</xdr:rowOff>
    </xdr:to>
    <xdr:sp>
      <xdr:nvSpPr>
        <xdr:cNvPr id="52" name="Host Control  22" hidden="1"/>
        <xdr:cNvSpPr/>
      </xdr:nvSpPr>
      <xdr:spPr>
        <a:xfrm>
          <a:off x="24574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23</xdr:row>
      <xdr:rowOff>8890</xdr:rowOff>
    </xdr:to>
    <xdr:sp>
      <xdr:nvSpPr>
        <xdr:cNvPr id="53" name="Host Control  32" hidden="1"/>
        <xdr:cNvSpPr/>
      </xdr:nvSpPr>
      <xdr:spPr>
        <a:xfrm>
          <a:off x="24574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54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55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56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57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58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59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60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61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62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63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64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22</xdr:row>
      <xdr:rowOff>247015</xdr:rowOff>
    </xdr:to>
    <xdr:sp>
      <xdr:nvSpPr>
        <xdr:cNvPr id="65" name="Host Control  22" hidden="1"/>
        <xdr:cNvSpPr/>
      </xdr:nvSpPr>
      <xdr:spPr>
        <a:xfrm>
          <a:off x="24574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23</xdr:row>
      <xdr:rowOff>8890</xdr:rowOff>
    </xdr:to>
    <xdr:sp>
      <xdr:nvSpPr>
        <xdr:cNvPr id="66" name="Host Control  32" hidden="1"/>
        <xdr:cNvSpPr/>
      </xdr:nvSpPr>
      <xdr:spPr>
        <a:xfrm>
          <a:off x="24574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67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68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69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70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71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72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73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74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75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76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77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22</xdr:row>
      <xdr:rowOff>247015</xdr:rowOff>
    </xdr:to>
    <xdr:sp>
      <xdr:nvSpPr>
        <xdr:cNvPr id="78" name="Host Control  22" hidden="1"/>
        <xdr:cNvSpPr/>
      </xdr:nvSpPr>
      <xdr:spPr>
        <a:xfrm>
          <a:off x="24574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23</xdr:row>
      <xdr:rowOff>8890</xdr:rowOff>
    </xdr:to>
    <xdr:sp>
      <xdr:nvSpPr>
        <xdr:cNvPr id="79" name="Host Control  32" hidden="1"/>
        <xdr:cNvSpPr/>
      </xdr:nvSpPr>
      <xdr:spPr>
        <a:xfrm>
          <a:off x="24574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80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81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82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83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84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85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86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87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88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89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90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22</xdr:row>
      <xdr:rowOff>247015</xdr:rowOff>
    </xdr:to>
    <xdr:sp>
      <xdr:nvSpPr>
        <xdr:cNvPr id="91" name="Host Control  22" hidden="1"/>
        <xdr:cNvSpPr/>
      </xdr:nvSpPr>
      <xdr:spPr>
        <a:xfrm>
          <a:off x="24574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23</xdr:row>
      <xdr:rowOff>8890</xdr:rowOff>
    </xdr:to>
    <xdr:sp>
      <xdr:nvSpPr>
        <xdr:cNvPr id="92" name="Host Control  32" hidden="1"/>
        <xdr:cNvSpPr/>
      </xdr:nvSpPr>
      <xdr:spPr>
        <a:xfrm>
          <a:off x="24574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93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94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95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96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97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98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99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100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01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02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103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22</xdr:row>
      <xdr:rowOff>247015</xdr:rowOff>
    </xdr:to>
    <xdr:sp>
      <xdr:nvSpPr>
        <xdr:cNvPr id="104" name="Host Control  22" hidden="1"/>
        <xdr:cNvSpPr/>
      </xdr:nvSpPr>
      <xdr:spPr>
        <a:xfrm>
          <a:off x="24574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23</xdr:row>
      <xdr:rowOff>8890</xdr:rowOff>
    </xdr:to>
    <xdr:sp>
      <xdr:nvSpPr>
        <xdr:cNvPr id="105" name="Host Control  32" hidden="1"/>
        <xdr:cNvSpPr/>
      </xdr:nvSpPr>
      <xdr:spPr>
        <a:xfrm>
          <a:off x="24574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06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107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08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109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110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11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12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113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14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15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116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22</xdr:row>
      <xdr:rowOff>247015</xdr:rowOff>
    </xdr:to>
    <xdr:sp>
      <xdr:nvSpPr>
        <xdr:cNvPr id="117" name="Host Control  22" hidden="1"/>
        <xdr:cNvSpPr/>
      </xdr:nvSpPr>
      <xdr:spPr>
        <a:xfrm>
          <a:off x="24574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23</xdr:row>
      <xdr:rowOff>8890</xdr:rowOff>
    </xdr:to>
    <xdr:sp>
      <xdr:nvSpPr>
        <xdr:cNvPr id="118" name="Host Control  32" hidden="1"/>
        <xdr:cNvSpPr/>
      </xdr:nvSpPr>
      <xdr:spPr>
        <a:xfrm>
          <a:off x="24574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19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120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21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122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123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24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25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126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27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28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129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22</xdr:row>
      <xdr:rowOff>247015</xdr:rowOff>
    </xdr:to>
    <xdr:sp>
      <xdr:nvSpPr>
        <xdr:cNvPr id="130" name="Host Control  22" hidden="1"/>
        <xdr:cNvSpPr/>
      </xdr:nvSpPr>
      <xdr:spPr>
        <a:xfrm>
          <a:off x="24574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23</xdr:row>
      <xdr:rowOff>8890</xdr:rowOff>
    </xdr:to>
    <xdr:sp>
      <xdr:nvSpPr>
        <xdr:cNvPr id="131" name="Host Control  32" hidden="1"/>
        <xdr:cNvSpPr/>
      </xdr:nvSpPr>
      <xdr:spPr>
        <a:xfrm>
          <a:off x="24574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32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133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34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135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6350</xdr:rowOff>
    </xdr:to>
    <xdr:sp>
      <xdr:nvSpPr>
        <xdr:cNvPr id="136" name="Host Control  32" hidden="1"/>
        <xdr:cNvSpPr/>
      </xdr:nvSpPr>
      <xdr:spPr>
        <a:xfrm>
          <a:off x="24574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37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38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139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40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22</xdr:row>
      <xdr:rowOff>247015</xdr:rowOff>
    </xdr:to>
    <xdr:sp>
      <xdr:nvSpPr>
        <xdr:cNvPr id="141" name="Host Control  22" hidden="1"/>
        <xdr:cNvSpPr/>
      </xdr:nvSpPr>
      <xdr:spPr>
        <a:xfrm>
          <a:off x="24574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95250</xdr:colOff>
      <xdr:row>23</xdr:row>
      <xdr:rowOff>5715</xdr:rowOff>
    </xdr:to>
    <xdr:sp>
      <xdr:nvSpPr>
        <xdr:cNvPr id="142" name="Host Control  32" hidden="1"/>
        <xdr:cNvSpPr/>
      </xdr:nvSpPr>
      <xdr:spPr>
        <a:xfrm>
          <a:off x="24574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22</xdr:row>
      <xdr:rowOff>247015</xdr:rowOff>
    </xdr:to>
    <xdr:sp>
      <xdr:nvSpPr>
        <xdr:cNvPr id="143" name="Host Control  22" hidden="1"/>
        <xdr:cNvSpPr/>
      </xdr:nvSpPr>
      <xdr:spPr>
        <a:xfrm>
          <a:off x="24574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93980</xdr:colOff>
      <xdr:row>23</xdr:row>
      <xdr:rowOff>8890</xdr:rowOff>
    </xdr:to>
    <xdr:sp>
      <xdr:nvSpPr>
        <xdr:cNvPr id="144" name="Host Control  32" hidden="1"/>
        <xdr:cNvSpPr/>
      </xdr:nvSpPr>
      <xdr:spPr>
        <a:xfrm>
          <a:off x="24574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45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146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47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148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6350</xdr:rowOff>
    </xdr:to>
    <xdr:sp>
      <xdr:nvSpPr>
        <xdr:cNvPr id="149" name="Host Control  32" hidden="1"/>
        <xdr:cNvSpPr/>
      </xdr:nvSpPr>
      <xdr:spPr>
        <a:xfrm>
          <a:off x="24574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50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51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152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53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22</xdr:row>
      <xdr:rowOff>247015</xdr:rowOff>
    </xdr:to>
    <xdr:sp>
      <xdr:nvSpPr>
        <xdr:cNvPr id="154" name="Host Control  22" hidden="1"/>
        <xdr:cNvSpPr/>
      </xdr:nvSpPr>
      <xdr:spPr>
        <a:xfrm>
          <a:off x="24574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95885</xdr:colOff>
      <xdr:row>23</xdr:row>
      <xdr:rowOff>5715</xdr:rowOff>
    </xdr:to>
    <xdr:sp>
      <xdr:nvSpPr>
        <xdr:cNvPr id="155" name="Host Control  32" hidden="1"/>
        <xdr:cNvSpPr/>
      </xdr:nvSpPr>
      <xdr:spPr>
        <a:xfrm>
          <a:off x="24574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22</xdr:row>
      <xdr:rowOff>247015</xdr:rowOff>
    </xdr:to>
    <xdr:sp>
      <xdr:nvSpPr>
        <xdr:cNvPr id="156" name="Host Control  22" hidden="1"/>
        <xdr:cNvSpPr/>
      </xdr:nvSpPr>
      <xdr:spPr>
        <a:xfrm>
          <a:off x="24574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94615</xdr:colOff>
      <xdr:row>23</xdr:row>
      <xdr:rowOff>8890</xdr:rowOff>
    </xdr:to>
    <xdr:sp>
      <xdr:nvSpPr>
        <xdr:cNvPr id="157" name="Host Control  32" hidden="1"/>
        <xdr:cNvSpPr/>
      </xdr:nvSpPr>
      <xdr:spPr>
        <a:xfrm>
          <a:off x="24574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58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159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60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161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162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63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64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165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66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67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168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22</xdr:row>
      <xdr:rowOff>247015</xdr:rowOff>
    </xdr:to>
    <xdr:sp>
      <xdr:nvSpPr>
        <xdr:cNvPr id="169" name="Host Control  22" hidden="1"/>
        <xdr:cNvSpPr/>
      </xdr:nvSpPr>
      <xdr:spPr>
        <a:xfrm>
          <a:off x="73723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23</xdr:row>
      <xdr:rowOff>8890</xdr:rowOff>
    </xdr:to>
    <xdr:sp>
      <xdr:nvSpPr>
        <xdr:cNvPr id="170" name="Host Control  32" hidden="1"/>
        <xdr:cNvSpPr/>
      </xdr:nvSpPr>
      <xdr:spPr>
        <a:xfrm>
          <a:off x="73723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171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172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173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174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175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176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177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178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179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180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181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22</xdr:row>
      <xdr:rowOff>247015</xdr:rowOff>
    </xdr:to>
    <xdr:sp>
      <xdr:nvSpPr>
        <xdr:cNvPr id="182" name="Host Control  22" hidden="1"/>
        <xdr:cNvSpPr/>
      </xdr:nvSpPr>
      <xdr:spPr>
        <a:xfrm>
          <a:off x="73723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23</xdr:row>
      <xdr:rowOff>8890</xdr:rowOff>
    </xdr:to>
    <xdr:sp>
      <xdr:nvSpPr>
        <xdr:cNvPr id="183" name="Host Control  32" hidden="1"/>
        <xdr:cNvSpPr/>
      </xdr:nvSpPr>
      <xdr:spPr>
        <a:xfrm>
          <a:off x="73723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84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185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86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187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188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89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90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191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92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193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194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22</xdr:row>
      <xdr:rowOff>247015</xdr:rowOff>
    </xdr:to>
    <xdr:sp>
      <xdr:nvSpPr>
        <xdr:cNvPr id="195" name="Host Control  22" hidden="1"/>
        <xdr:cNvSpPr/>
      </xdr:nvSpPr>
      <xdr:spPr>
        <a:xfrm>
          <a:off x="73723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23</xdr:row>
      <xdr:rowOff>8890</xdr:rowOff>
    </xdr:to>
    <xdr:sp>
      <xdr:nvSpPr>
        <xdr:cNvPr id="196" name="Host Control  32" hidden="1"/>
        <xdr:cNvSpPr/>
      </xdr:nvSpPr>
      <xdr:spPr>
        <a:xfrm>
          <a:off x="73723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197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198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199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00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201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02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03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04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05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06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07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22</xdr:row>
      <xdr:rowOff>247015</xdr:rowOff>
    </xdr:to>
    <xdr:sp>
      <xdr:nvSpPr>
        <xdr:cNvPr id="208" name="Host Control  22" hidden="1"/>
        <xdr:cNvSpPr/>
      </xdr:nvSpPr>
      <xdr:spPr>
        <a:xfrm>
          <a:off x="73723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23</xdr:row>
      <xdr:rowOff>8890</xdr:rowOff>
    </xdr:to>
    <xdr:sp>
      <xdr:nvSpPr>
        <xdr:cNvPr id="209" name="Host Control  32" hidden="1"/>
        <xdr:cNvSpPr/>
      </xdr:nvSpPr>
      <xdr:spPr>
        <a:xfrm>
          <a:off x="73723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10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211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12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13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214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15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16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17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18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19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20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22</xdr:row>
      <xdr:rowOff>247015</xdr:rowOff>
    </xdr:to>
    <xdr:sp>
      <xdr:nvSpPr>
        <xdr:cNvPr id="221" name="Host Control  22" hidden="1"/>
        <xdr:cNvSpPr/>
      </xdr:nvSpPr>
      <xdr:spPr>
        <a:xfrm>
          <a:off x="73723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23</xdr:row>
      <xdr:rowOff>8890</xdr:rowOff>
    </xdr:to>
    <xdr:sp>
      <xdr:nvSpPr>
        <xdr:cNvPr id="222" name="Host Control  32" hidden="1"/>
        <xdr:cNvSpPr/>
      </xdr:nvSpPr>
      <xdr:spPr>
        <a:xfrm>
          <a:off x="73723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23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224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25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26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227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28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29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30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31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32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33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22</xdr:row>
      <xdr:rowOff>247015</xdr:rowOff>
    </xdr:to>
    <xdr:sp>
      <xdr:nvSpPr>
        <xdr:cNvPr id="234" name="Host Control  22" hidden="1"/>
        <xdr:cNvSpPr/>
      </xdr:nvSpPr>
      <xdr:spPr>
        <a:xfrm>
          <a:off x="73723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23</xdr:row>
      <xdr:rowOff>8890</xdr:rowOff>
    </xdr:to>
    <xdr:sp>
      <xdr:nvSpPr>
        <xdr:cNvPr id="235" name="Host Control  32" hidden="1"/>
        <xdr:cNvSpPr/>
      </xdr:nvSpPr>
      <xdr:spPr>
        <a:xfrm>
          <a:off x="73723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36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237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38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39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240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41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42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43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44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45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46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22</xdr:row>
      <xdr:rowOff>247015</xdr:rowOff>
    </xdr:to>
    <xdr:sp>
      <xdr:nvSpPr>
        <xdr:cNvPr id="247" name="Host Control  22" hidden="1"/>
        <xdr:cNvSpPr/>
      </xdr:nvSpPr>
      <xdr:spPr>
        <a:xfrm>
          <a:off x="73723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23</xdr:row>
      <xdr:rowOff>8890</xdr:rowOff>
    </xdr:to>
    <xdr:sp>
      <xdr:nvSpPr>
        <xdr:cNvPr id="248" name="Host Control  32" hidden="1"/>
        <xdr:cNvSpPr/>
      </xdr:nvSpPr>
      <xdr:spPr>
        <a:xfrm>
          <a:off x="73723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49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250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51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52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253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54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55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56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57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58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59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22</xdr:row>
      <xdr:rowOff>247015</xdr:rowOff>
    </xdr:to>
    <xdr:sp>
      <xdr:nvSpPr>
        <xdr:cNvPr id="260" name="Host Control  22" hidden="1"/>
        <xdr:cNvSpPr/>
      </xdr:nvSpPr>
      <xdr:spPr>
        <a:xfrm>
          <a:off x="73723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23</xdr:row>
      <xdr:rowOff>8890</xdr:rowOff>
    </xdr:to>
    <xdr:sp>
      <xdr:nvSpPr>
        <xdr:cNvPr id="261" name="Host Control  32" hidden="1"/>
        <xdr:cNvSpPr/>
      </xdr:nvSpPr>
      <xdr:spPr>
        <a:xfrm>
          <a:off x="73723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62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263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64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65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266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67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68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69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70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71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72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22</xdr:row>
      <xdr:rowOff>247015</xdr:rowOff>
    </xdr:to>
    <xdr:sp>
      <xdr:nvSpPr>
        <xdr:cNvPr id="273" name="Host Control  22" hidden="1"/>
        <xdr:cNvSpPr/>
      </xdr:nvSpPr>
      <xdr:spPr>
        <a:xfrm>
          <a:off x="73723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23</xdr:row>
      <xdr:rowOff>8890</xdr:rowOff>
    </xdr:to>
    <xdr:sp>
      <xdr:nvSpPr>
        <xdr:cNvPr id="274" name="Host Control  32" hidden="1"/>
        <xdr:cNvSpPr/>
      </xdr:nvSpPr>
      <xdr:spPr>
        <a:xfrm>
          <a:off x="73723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75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276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77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78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279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80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81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82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83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284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285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22</xdr:row>
      <xdr:rowOff>247015</xdr:rowOff>
    </xdr:to>
    <xdr:sp>
      <xdr:nvSpPr>
        <xdr:cNvPr id="286" name="Host Control  22" hidden="1"/>
        <xdr:cNvSpPr/>
      </xdr:nvSpPr>
      <xdr:spPr>
        <a:xfrm>
          <a:off x="73723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23</xdr:row>
      <xdr:rowOff>8890</xdr:rowOff>
    </xdr:to>
    <xdr:sp>
      <xdr:nvSpPr>
        <xdr:cNvPr id="287" name="Host Control  32" hidden="1"/>
        <xdr:cNvSpPr/>
      </xdr:nvSpPr>
      <xdr:spPr>
        <a:xfrm>
          <a:off x="73723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88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289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90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91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6350</xdr:rowOff>
    </xdr:to>
    <xdr:sp>
      <xdr:nvSpPr>
        <xdr:cNvPr id="292" name="Host Control  32" hidden="1"/>
        <xdr:cNvSpPr/>
      </xdr:nvSpPr>
      <xdr:spPr>
        <a:xfrm>
          <a:off x="737235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93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94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95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96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22</xdr:row>
      <xdr:rowOff>247015</xdr:rowOff>
    </xdr:to>
    <xdr:sp>
      <xdr:nvSpPr>
        <xdr:cNvPr id="297" name="Host Control  22" hidden="1"/>
        <xdr:cNvSpPr/>
      </xdr:nvSpPr>
      <xdr:spPr>
        <a:xfrm>
          <a:off x="737235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95250</xdr:colOff>
      <xdr:row>23</xdr:row>
      <xdr:rowOff>5715</xdr:rowOff>
    </xdr:to>
    <xdr:sp>
      <xdr:nvSpPr>
        <xdr:cNvPr id="298" name="Host Control  32" hidden="1"/>
        <xdr:cNvSpPr/>
      </xdr:nvSpPr>
      <xdr:spPr>
        <a:xfrm>
          <a:off x="737235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22</xdr:row>
      <xdr:rowOff>247015</xdr:rowOff>
    </xdr:to>
    <xdr:sp>
      <xdr:nvSpPr>
        <xdr:cNvPr id="299" name="Host Control  22" hidden="1"/>
        <xdr:cNvSpPr/>
      </xdr:nvSpPr>
      <xdr:spPr>
        <a:xfrm>
          <a:off x="737235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93980</xdr:colOff>
      <xdr:row>23</xdr:row>
      <xdr:rowOff>8890</xdr:rowOff>
    </xdr:to>
    <xdr:sp>
      <xdr:nvSpPr>
        <xdr:cNvPr id="300" name="Host Control  32" hidden="1"/>
        <xdr:cNvSpPr/>
      </xdr:nvSpPr>
      <xdr:spPr>
        <a:xfrm>
          <a:off x="737235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301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302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303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304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6350</xdr:rowOff>
    </xdr:to>
    <xdr:sp>
      <xdr:nvSpPr>
        <xdr:cNvPr id="305" name="Host Control  32" hidden="1"/>
        <xdr:cNvSpPr/>
      </xdr:nvSpPr>
      <xdr:spPr>
        <a:xfrm>
          <a:off x="737235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306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307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308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309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22</xdr:row>
      <xdr:rowOff>247015</xdr:rowOff>
    </xdr:to>
    <xdr:sp>
      <xdr:nvSpPr>
        <xdr:cNvPr id="310" name="Host Control  22" hidden="1"/>
        <xdr:cNvSpPr/>
      </xdr:nvSpPr>
      <xdr:spPr>
        <a:xfrm>
          <a:off x="737235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95885</xdr:colOff>
      <xdr:row>23</xdr:row>
      <xdr:rowOff>5715</xdr:rowOff>
    </xdr:to>
    <xdr:sp>
      <xdr:nvSpPr>
        <xdr:cNvPr id="311" name="Host Control  32" hidden="1"/>
        <xdr:cNvSpPr/>
      </xdr:nvSpPr>
      <xdr:spPr>
        <a:xfrm>
          <a:off x="737235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22</xdr:row>
      <xdr:rowOff>247015</xdr:rowOff>
    </xdr:to>
    <xdr:sp>
      <xdr:nvSpPr>
        <xdr:cNvPr id="312" name="Host Control  22" hidden="1"/>
        <xdr:cNvSpPr/>
      </xdr:nvSpPr>
      <xdr:spPr>
        <a:xfrm>
          <a:off x="737235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22</xdr:row>
      <xdr:rowOff>0</xdr:rowOff>
    </xdr:from>
    <xdr:to>
      <xdr:col>11</xdr:col>
      <xdr:colOff>94615</xdr:colOff>
      <xdr:row>23</xdr:row>
      <xdr:rowOff>8890</xdr:rowOff>
    </xdr:to>
    <xdr:sp>
      <xdr:nvSpPr>
        <xdr:cNvPr id="313" name="Host Control  32" hidden="1"/>
        <xdr:cNvSpPr/>
      </xdr:nvSpPr>
      <xdr:spPr>
        <a:xfrm>
          <a:off x="737235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14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315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16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317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318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19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20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321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22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23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324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22</xdr:row>
      <xdr:rowOff>247015</xdr:rowOff>
    </xdr:to>
    <xdr:sp>
      <xdr:nvSpPr>
        <xdr:cNvPr id="325" name="Host Control  22" hidden="1"/>
        <xdr:cNvSpPr/>
      </xdr:nvSpPr>
      <xdr:spPr>
        <a:xfrm>
          <a:off x="982980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23</xdr:row>
      <xdr:rowOff>8890</xdr:rowOff>
    </xdr:to>
    <xdr:sp>
      <xdr:nvSpPr>
        <xdr:cNvPr id="326" name="Host Control  32" hidden="1"/>
        <xdr:cNvSpPr/>
      </xdr:nvSpPr>
      <xdr:spPr>
        <a:xfrm>
          <a:off x="982980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27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328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29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330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331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32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33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334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35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36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337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22</xdr:row>
      <xdr:rowOff>247015</xdr:rowOff>
    </xdr:to>
    <xdr:sp>
      <xdr:nvSpPr>
        <xdr:cNvPr id="338" name="Host Control  22" hidden="1"/>
        <xdr:cNvSpPr/>
      </xdr:nvSpPr>
      <xdr:spPr>
        <a:xfrm>
          <a:off x="982980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23</xdr:row>
      <xdr:rowOff>8890</xdr:rowOff>
    </xdr:to>
    <xdr:sp>
      <xdr:nvSpPr>
        <xdr:cNvPr id="339" name="Host Control  32" hidden="1"/>
        <xdr:cNvSpPr/>
      </xdr:nvSpPr>
      <xdr:spPr>
        <a:xfrm>
          <a:off x="982980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40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341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42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343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344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45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46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347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48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49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350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22</xdr:row>
      <xdr:rowOff>247015</xdr:rowOff>
    </xdr:to>
    <xdr:sp>
      <xdr:nvSpPr>
        <xdr:cNvPr id="351" name="Host Control  22" hidden="1"/>
        <xdr:cNvSpPr/>
      </xdr:nvSpPr>
      <xdr:spPr>
        <a:xfrm>
          <a:off x="982980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23</xdr:row>
      <xdr:rowOff>8890</xdr:rowOff>
    </xdr:to>
    <xdr:sp>
      <xdr:nvSpPr>
        <xdr:cNvPr id="352" name="Host Control  32" hidden="1"/>
        <xdr:cNvSpPr/>
      </xdr:nvSpPr>
      <xdr:spPr>
        <a:xfrm>
          <a:off x="982980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53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354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55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356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357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58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59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360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61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62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363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22</xdr:row>
      <xdr:rowOff>247015</xdr:rowOff>
    </xdr:to>
    <xdr:sp>
      <xdr:nvSpPr>
        <xdr:cNvPr id="364" name="Host Control  22" hidden="1"/>
        <xdr:cNvSpPr/>
      </xdr:nvSpPr>
      <xdr:spPr>
        <a:xfrm>
          <a:off x="982980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23</xdr:row>
      <xdr:rowOff>8890</xdr:rowOff>
    </xdr:to>
    <xdr:sp>
      <xdr:nvSpPr>
        <xdr:cNvPr id="365" name="Host Control  32" hidden="1"/>
        <xdr:cNvSpPr/>
      </xdr:nvSpPr>
      <xdr:spPr>
        <a:xfrm>
          <a:off x="982980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66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367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68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369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370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71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72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373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74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75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376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22</xdr:row>
      <xdr:rowOff>247015</xdr:rowOff>
    </xdr:to>
    <xdr:sp>
      <xdr:nvSpPr>
        <xdr:cNvPr id="377" name="Host Control  22" hidden="1"/>
        <xdr:cNvSpPr/>
      </xdr:nvSpPr>
      <xdr:spPr>
        <a:xfrm>
          <a:off x="982980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23</xdr:row>
      <xdr:rowOff>8890</xdr:rowOff>
    </xdr:to>
    <xdr:sp>
      <xdr:nvSpPr>
        <xdr:cNvPr id="378" name="Host Control  32" hidden="1"/>
        <xdr:cNvSpPr/>
      </xdr:nvSpPr>
      <xdr:spPr>
        <a:xfrm>
          <a:off x="982980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79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380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81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382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383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84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85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386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87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388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389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22</xdr:row>
      <xdr:rowOff>247015</xdr:rowOff>
    </xdr:to>
    <xdr:sp>
      <xdr:nvSpPr>
        <xdr:cNvPr id="390" name="Host Control  22" hidden="1"/>
        <xdr:cNvSpPr/>
      </xdr:nvSpPr>
      <xdr:spPr>
        <a:xfrm>
          <a:off x="982980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23</xdr:row>
      <xdr:rowOff>8890</xdr:rowOff>
    </xdr:to>
    <xdr:sp>
      <xdr:nvSpPr>
        <xdr:cNvPr id="391" name="Host Control  32" hidden="1"/>
        <xdr:cNvSpPr/>
      </xdr:nvSpPr>
      <xdr:spPr>
        <a:xfrm>
          <a:off x="982980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92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393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94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395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396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97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398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399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00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01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402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22</xdr:row>
      <xdr:rowOff>247015</xdr:rowOff>
    </xdr:to>
    <xdr:sp>
      <xdr:nvSpPr>
        <xdr:cNvPr id="403" name="Host Control  22" hidden="1"/>
        <xdr:cNvSpPr/>
      </xdr:nvSpPr>
      <xdr:spPr>
        <a:xfrm>
          <a:off x="982980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23</xdr:row>
      <xdr:rowOff>8890</xdr:rowOff>
    </xdr:to>
    <xdr:sp>
      <xdr:nvSpPr>
        <xdr:cNvPr id="404" name="Host Control  32" hidden="1"/>
        <xdr:cNvSpPr/>
      </xdr:nvSpPr>
      <xdr:spPr>
        <a:xfrm>
          <a:off x="982980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05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406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07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408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409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10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11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412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13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14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415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22</xdr:row>
      <xdr:rowOff>247015</xdr:rowOff>
    </xdr:to>
    <xdr:sp>
      <xdr:nvSpPr>
        <xdr:cNvPr id="416" name="Host Control  22" hidden="1"/>
        <xdr:cNvSpPr/>
      </xdr:nvSpPr>
      <xdr:spPr>
        <a:xfrm>
          <a:off x="982980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23</xdr:row>
      <xdr:rowOff>8890</xdr:rowOff>
    </xdr:to>
    <xdr:sp>
      <xdr:nvSpPr>
        <xdr:cNvPr id="417" name="Host Control  32" hidden="1"/>
        <xdr:cNvSpPr/>
      </xdr:nvSpPr>
      <xdr:spPr>
        <a:xfrm>
          <a:off x="982980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18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419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20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421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422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23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24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425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26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27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428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22</xdr:row>
      <xdr:rowOff>247015</xdr:rowOff>
    </xdr:to>
    <xdr:sp>
      <xdr:nvSpPr>
        <xdr:cNvPr id="429" name="Host Control  22" hidden="1"/>
        <xdr:cNvSpPr/>
      </xdr:nvSpPr>
      <xdr:spPr>
        <a:xfrm>
          <a:off x="982980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23</xdr:row>
      <xdr:rowOff>8890</xdr:rowOff>
    </xdr:to>
    <xdr:sp>
      <xdr:nvSpPr>
        <xdr:cNvPr id="430" name="Host Control  32" hidden="1"/>
        <xdr:cNvSpPr/>
      </xdr:nvSpPr>
      <xdr:spPr>
        <a:xfrm>
          <a:off x="982980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31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432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33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434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435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36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37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438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39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40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441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22</xdr:row>
      <xdr:rowOff>247015</xdr:rowOff>
    </xdr:to>
    <xdr:sp>
      <xdr:nvSpPr>
        <xdr:cNvPr id="442" name="Host Control  22" hidden="1"/>
        <xdr:cNvSpPr/>
      </xdr:nvSpPr>
      <xdr:spPr>
        <a:xfrm>
          <a:off x="982980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23</xdr:row>
      <xdr:rowOff>8890</xdr:rowOff>
    </xdr:to>
    <xdr:sp>
      <xdr:nvSpPr>
        <xdr:cNvPr id="443" name="Host Control  32" hidden="1"/>
        <xdr:cNvSpPr/>
      </xdr:nvSpPr>
      <xdr:spPr>
        <a:xfrm>
          <a:off x="982980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44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445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46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447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6350</xdr:rowOff>
    </xdr:to>
    <xdr:sp>
      <xdr:nvSpPr>
        <xdr:cNvPr id="448" name="Host Control  32" hidden="1"/>
        <xdr:cNvSpPr/>
      </xdr:nvSpPr>
      <xdr:spPr>
        <a:xfrm>
          <a:off x="9829800" y="5588000"/>
          <a:ext cx="1733550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49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50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451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52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22</xdr:row>
      <xdr:rowOff>247015</xdr:rowOff>
    </xdr:to>
    <xdr:sp>
      <xdr:nvSpPr>
        <xdr:cNvPr id="453" name="Host Control  22" hidden="1"/>
        <xdr:cNvSpPr/>
      </xdr:nvSpPr>
      <xdr:spPr>
        <a:xfrm>
          <a:off x="9829800" y="5588000"/>
          <a:ext cx="173355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95250</xdr:colOff>
      <xdr:row>23</xdr:row>
      <xdr:rowOff>5715</xdr:rowOff>
    </xdr:to>
    <xdr:sp>
      <xdr:nvSpPr>
        <xdr:cNvPr id="454" name="Host Control  32" hidden="1"/>
        <xdr:cNvSpPr/>
      </xdr:nvSpPr>
      <xdr:spPr>
        <a:xfrm>
          <a:off x="9829800" y="5588000"/>
          <a:ext cx="1733550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22</xdr:row>
      <xdr:rowOff>247015</xdr:rowOff>
    </xdr:to>
    <xdr:sp>
      <xdr:nvSpPr>
        <xdr:cNvPr id="455" name="Host Control  22" hidden="1"/>
        <xdr:cNvSpPr/>
      </xdr:nvSpPr>
      <xdr:spPr>
        <a:xfrm>
          <a:off x="9829800" y="5588000"/>
          <a:ext cx="1732280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93980</xdr:colOff>
      <xdr:row>23</xdr:row>
      <xdr:rowOff>8890</xdr:rowOff>
    </xdr:to>
    <xdr:sp>
      <xdr:nvSpPr>
        <xdr:cNvPr id="456" name="Host Control  32" hidden="1"/>
        <xdr:cNvSpPr/>
      </xdr:nvSpPr>
      <xdr:spPr>
        <a:xfrm>
          <a:off x="9829800" y="5588000"/>
          <a:ext cx="1732280" cy="2628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57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458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59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460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6350</xdr:rowOff>
    </xdr:to>
    <xdr:sp>
      <xdr:nvSpPr>
        <xdr:cNvPr id="461" name="Host Control  32" hidden="1"/>
        <xdr:cNvSpPr/>
      </xdr:nvSpPr>
      <xdr:spPr>
        <a:xfrm>
          <a:off x="9829800" y="5588000"/>
          <a:ext cx="1734185" cy="2603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62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63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464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65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22</xdr:row>
      <xdr:rowOff>247015</xdr:rowOff>
    </xdr:to>
    <xdr:sp>
      <xdr:nvSpPr>
        <xdr:cNvPr id="466" name="Host Control  22" hidden="1"/>
        <xdr:cNvSpPr/>
      </xdr:nvSpPr>
      <xdr:spPr>
        <a:xfrm>
          <a:off x="9829800" y="5588000"/>
          <a:ext cx="173418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95885</xdr:colOff>
      <xdr:row>23</xdr:row>
      <xdr:rowOff>5715</xdr:rowOff>
    </xdr:to>
    <xdr:sp>
      <xdr:nvSpPr>
        <xdr:cNvPr id="467" name="Host Control  32" hidden="1"/>
        <xdr:cNvSpPr/>
      </xdr:nvSpPr>
      <xdr:spPr>
        <a:xfrm>
          <a:off x="9829800" y="5588000"/>
          <a:ext cx="1734185" cy="2597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22</xdr:row>
      <xdr:rowOff>247015</xdr:rowOff>
    </xdr:to>
    <xdr:sp>
      <xdr:nvSpPr>
        <xdr:cNvPr id="468" name="Host Control  22" hidden="1"/>
        <xdr:cNvSpPr/>
      </xdr:nvSpPr>
      <xdr:spPr>
        <a:xfrm>
          <a:off x="9829800" y="5588000"/>
          <a:ext cx="1732915" cy="2470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14</xdr:col>
      <xdr:colOff>94615</xdr:colOff>
      <xdr:row>23</xdr:row>
      <xdr:rowOff>8890</xdr:rowOff>
    </xdr:to>
    <xdr:sp>
      <xdr:nvSpPr>
        <xdr:cNvPr id="469" name="Host Control  32" hidden="1"/>
        <xdr:cNvSpPr/>
      </xdr:nvSpPr>
      <xdr:spPr>
        <a:xfrm>
          <a:off x="9829800" y="5588000"/>
          <a:ext cx="1732915" cy="26289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R37"/>
  <sheetViews>
    <sheetView zoomScale="80" zoomScaleNormal="80" topLeftCell="A12" workbookViewId="0">
      <selection activeCell="V23" sqref="V23"/>
    </sheetView>
  </sheetViews>
  <sheetFormatPr defaultColWidth="9" defaultRowHeight="16.5"/>
  <cols>
    <col min="1" max="1" width="9" style="160"/>
    <col min="2" max="2" width="24.0666666666667" style="160" customWidth="1"/>
    <col min="3" max="15" width="8.125" style="160" customWidth="1"/>
    <col min="16" max="16" width="8.125" style="23" customWidth="1"/>
    <col min="17" max="17" width="9" style="160"/>
    <col min="18" max="18" width="19.8166666666667" style="160" customWidth="1"/>
    <col min="19" max="31" width="9" style="160"/>
    <col min="32" max="32" width="12.75" style="160"/>
    <col min="33" max="16384" width="9" style="160"/>
  </cols>
  <sheetData>
    <row r="1" customHeight="1"/>
    <row r="2" ht="17.25" customHeight="1"/>
    <row r="3" ht="35" customHeight="1" spans="1:18">
      <c r="A3" s="161" t="s">
        <v>0</v>
      </c>
      <c r="B3" s="161"/>
      <c r="C3" s="162" t="s">
        <v>1</v>
      </c>
      <c r="D3" s="162" t="s">
        <v>2</v>
      </c>
      <c r="E3" s="162" t="s">
        <v>3</v>
      </c>
      <c r="F3" s="162" t="s">
        <v>4</v>
      </c>
      <c r="G3" s="162" t="s">
        <v>5</v>
      </c>
      <c r="H3" s="162" t="s">
        <v>6</v>
      </c>
      <c r="I3" s="162" t="s">
        <v>7</v>
      </c>
      <c r="J3" s="162" t="s">
        <v>8</v>
      </c>
      <c r="K3" s="162" t="s">
        <v>9</v>
      </c>
      <c r="L3" s="162" t="s">
        <v>10</v>
      </c>
      <c r="M3" s="162" t="s">
        <v>11</v>
      </c>
      <c r="N3" s="162" t="s">
        <v>12</v>
      </c>
      <c r="O3" s="162" t="s">
        <v>13</v>
      </c>
      <c r="P3" s="162" t="s">
        <v>14</v>
      </c>
      <c r="Q3" s="163"/>
    </row>
    <row r="4" ht="35" customHeight="1" spans="1:18">
      <c r="A4" s="164" t="s">
        <v>15</v>
      </c>
      <c r="B4" s="164" t="s">
        <v>16</v>
      </c>
      <c r="C4" s="165">
        <v>0.15</v>
      </c>
      <c r="D4" s="166">
        <f>ROUND(INDEX(收费率!$F$4:$F$16,MATCH(汇总!D3,收费率!$E$4:$E$16,0)),1)</f>
        <v>67.2</v>
      </c>
      <c r="E4" s="166">
        <f>ROUND(INDEX(收费率!$F$4:$F$16,MATCH(汇总!E3,收费率!$E$4:$E$16,0)),1)</f>
        <v>64.5</v>
      </c>
      <c r="F4" s="166">
        <f>ROUND(INDEX(收费率!$F$4:$F$16,MATCH(汇总!F3,收费率!$E$4:$E$16,0)),1)</f>
        <v>74.9</v>
      </c>
      <c r="G4" s="166">
        <f>ROUND(INDEX(收费率!$F$4:$F$16,MATCH(汇总!G3,收费率!$E$4:$E$16,0)),1)</f>
        <v>63.9</v>
      </c>
      <c r="H4" s="166">
        <f>ROUND(INDEX(收费率!$F$4:$F$16,MATCH(汇总!H3,收费率!$E$4:$E$16,0)),1)</f>
        <v>60</v>
      </c>
      <c r="I4" s="166">
        <f>ROUND(INDEX(收费率!$F$4:$F$16,MATCH(汇总!I3,收费率!$E$4:$E$16,0)),1)</f>
        <v>57.4</v>
      </c>
      <c r="J4" s="166">
        <f>ROUND(INDEX(收费率!$F$4:$F$16,MATCH(汇总!J3,收费率!$E$4:$E$16,0)),1)</f>
        <v>74.8</v>
      </c>
      <c r="K4" s="166">
        <f>ROUND(INDEX(收费率!$F$4:$F$16,MATCH(汇总!K3,收费率!$E$4:$E$16,0)),1)</f>
        <v>78.1</v>
      </c>
      <c r="L4" s="166">
        <f>ROUND(INDEX(收费率!$F$4:$F$16,MATCH(汇总!L3,收费率!$E$4:$E$16,0)),1)</f>
        <v>65.1</v>
      </c>
      <c r="M4" s="166">
        <f>ROUND(INDEX(收费率!$F$4:$F$16,MATCH(汇总!M3,收费率!$E$4:$E$16,0)),1)</f>
        <v>55.8</v>
      </c>
      <c r="N4" s="166">
        <f>ROUND(INDEX(收费率!$F$4:$F$16,MATCH(汇总!N3,收费率!$E$4:$E$16,0)),1)</f>
        <v>53</v>
      </c>
      <c r="O4" s="166">
        <f>ROUND(INDEX(收费率!$F$4:$F$16,MATCH(汇总!O3,收费率!$E$4:$E$16,0)),1)</f>
        <v>37.2</v>
      </c>
      <c r="P4" s="166">
        <f>ROUND(INDEX(收费率!$F$4:$F$16,MATCH(汇总!P3,收费率!$E$4:$E$16,0)),1)</f>
        <v>75.8</v>
      </c>
      <c r="Q4" s="163"/>
    </row>
    <row r="5" ht="35" customHeight="1" spans="1:18">
      <c r="A5" s="164"/>
      <c r="B5" s="164" t="s">
        <v>17</v>
      </c>
      <c r="C5" s="167">
        <v>0.1</v>
      </c>
      <c r="D5" s="63">
        <f>ROUND(INDEX(收费率!$F$23:$F$35,MATCH(汇总!D3,收费率!$E$23:$E$35,0)),1)</f>
        <v>53.8</v>
      </c>
      <c r="E5" s="63">
        <f>ROUND(INDEX(收费率!$F$23:$F$35,MATCH(汇总!E3,收费率!$E$23:$E$35,0)),1)</f>
        <v>50.5</v>
      </c>
      <c r="F5" s="63">
        <f>ROUND(INDEX(收费率!$F$23:$F$35,MATCH(汇总!F3,收费率!$E$23:$E$35,0)),1)</f>
        <v>62.9</v>
      </c>
      <c r="G5" s="63">
        <f>ROUND(INDEX(收费率!$F$23:$F$35,MATCH(汇总!G3,收费率!$E$23:$E$35,0)),1)</f>
        <v>34.9</v>
      </c>
      <c r="H5" s="63">
        <f>ROUND(INDEX(收费率!$F$23:$F$35,MATCH(汇总!H3,收费率!$E$23:$E$35,0)),1)</f>
        <v>63.9</v>
      </c>
      <c r="I5" s="63">
        <f>ROUND(INDEX(收费率!$F$23:$F$35,MATCH(汇总!I3,收费率!$E$23:$E$35,0)),1)</f>
        <v>52.2</v>
      </c>
      <c r="J5" s="63">
        <f>ROUND(INDEX(收费率!$F$23:$F$35,MATCH(汇总!J3,收费率!$E$23:$E$35,0)),1)</f>
        <v>47.9</v>
      </c>
      <c r="K5" s="63">
        <f>ROUND(INDEX(收费率!$F$23:$F$35,MATCH(汇总!K3,收费率!$E$23:$E$35,0)),1)</f>
        <v>63.3</v>
      </c>
      <c r="L5" s="63">
        <f>ROUND(INDEX(收费率!$F$23:$F$35,MATCH(汇总!L3,收费率!$E$23:$E$35,0)),1)</f>
        <v>55</v>
      </c>
      <c r="M5" s="63">
        <f>ROUND(INDEX(收费率!$F$23:$F$35,MATCH(汇总!M3,收费率!$E$23:$E$35,0)),1)</f>
        <v>49</v>
      </c>
      <c r="N5" s="63">
        <f>ROUND(INDEX(收费率!$F$23:$F$35,MATCH(汇总!N3,收费率!$E$23:$E$35,0)),1)</f>
        <v>67.6</v>
      </c>
      <c r="O5" s="63">
        <f>ROUND(INDEX(收费率!$F$23:$F$35,MATCH(汇总!O3,收费率!$E$23:$E$35,0)),1)</f>
        <v>54.2</v>
      </c>
      <c r="P5" s="168">
        <f>ROUND(INDEX(收费率!$F$23:$F$35,MATCH(汇总!P3,收费率!$E$23:$E$35,0)),1)</f>
        <v>68.4</v>
      </c>
      <c r="Q5" s="163"/>
      <c r="R5" s="23"/>
    </row>
    <row r="6" ht="35" customHeight="1" spans="1:18">
      <c r="A6" s="164"/>
      <c r="B6" s="164" t="s">
        <v>18</v>
      </c>
      <c r="C6" s="167">
        <v>0.1</v>
      </c>
      <c r="D6" s="63" cm="1">
        <f t="array" ref="D6">MAX(0,ROUND(INDEX(空间资源!$G$3:$G$15,MATCH(D3,空间资源!$F$3:$F$15,0)),1))</f>
        <v>0</v>
      </c>
      <c r="E6" s="63" cm="1">
        <f t="array" ref="E6">MAX(0,ROUND(INDEX(空间资源!$G$3:$G$15,MATCH(E3,空间资源!$F$3:$F$15,0)),1))</f>
        <v>0</v>
      </c>
      <c r="F6" s="63" cm="1">
        <f t="array" ref="F6">MAX(0,ROUND(INDEX(空间资源!$G$3:$G$15,MATCH(F3,空间资源!$F$3:$F$15,0)),1))</f>
        <v>0</v>
      </c>
      <c r="G6" s="63" cm="1">
        <f t="array" ref="G6">MAX(0,ROUND(INDEX(空间资源!$G$3:$G$15,MATCH(G3,空间资源!$F$3:$F$15,0)),1))</f>
        <v>0</v>
      </c>
      <c r="H6" s="63" cm="1">
        <f t="array" ref="H6">MAX(0,ROUND(INDEX(空间资源!$G$3:$G$15,MATCH(H3,空间资源!$F$3:$F$15,0)),1))</f>
        <v>0</v>
      </c>
      <c r="I6" s="63" cm="1">
        <f t="array" ref="I6">MAX(0,ROUND(INDEX(空间资源!$G$3:$G$15,MATCH(I3,空间资源!$F$3:$F$15,0)),1))</f>
        <v>0</v>
      </c>
      <c r="J6" s="63" cm="1">
        <f t="array" ref="J6">MAX(0,ROUND(INDEX(空间资源!$G$3:$G$15,MATCH(J3,空间资源!$F$3:$F$15,0)),1))</f>
        <v>0</v>
      </c>
      <c r="K6" s="63" cm="1">
        <f t="array" ref="K6">MAX(0,ROUND(INDEX(空间资源!$G$3:$G$15,MATCH(K3,空间资源!$F$3:$F$15,0)),1))</f>
        <v>0</v>
      </c>
      <c r="L6" s="63" cm="1">
        <f t="array" ref="L6">MAX(0,ROUND(INDEX(空间资源!$G$3:$G$15,MATCH(L3,空间资源!$F$3:$F$15,0)),1))</f>
        <v>0</v>
      </c>
      <c r="M6" s="63" cm="1">
        <f t="array" ref="M6">MAX(0,ROUND(INDEX(空间资源!$G$3:$G$15,MATCH(M3,空间资源!$F$3:$F$15,0)),1))</f>
        <v>0</v>
      </c>
      <c r="N6" s="63" cm="1">
        <f t="array" ref="N6">MAX(0,ROUND(INDEX(空间资源!$G$3:$G$15,MATCH(N3,空间资源!$F$3:$F$15,0)),1))</f>
        <v>23.1</v>
      </c>
      <c r="O6" s="63" cm="1">
        <f t="array" ref="O6">MAX(0,ROUND(INDEX(空间资源!$G$3:$G$15,MATCH(O3,空间资源!$F$3:$F$15,0)),1))</f>
        <v>0</v>
      </c>
      <c r="P6" s="63" cm="1">
        <f t="array" ref="P6">MAX(0,ROUND(INDEX(空间资源!$G$3:$G$15,MATCH(P3,空间资源!$F$3:$F$15,0)),1))</f>
        <v>0</v>
      </c>
      <c r="Q6" s="163"/>
      <c r="R6" s="23"/>
    </row>
    <row r="7" ht="35" customHeight="1" spans="1:18">
      <c r="A7" s="164" t="s">
        <v>19</v>
      </c>
      <c r="B7" s="164" t="s">
        <v>20</v>
      </c>
      <c r="C7" s="167">
        <v>0.25</v>
      </c>
      <c r="D7" s="63">
        <f>ROUND(INDEX(业主满意度!$J$4:$J$16,MATCH(D3,业主满意度!$H$4:$H$16,0)),1)</f>
        <v>70</v>
      </c>
      <c r="E7" s="63">
        <f>ROUND(INDEX(业主满意度!$J$4:$J$16,MATCH(E3,业主满意度!$H$4:$H$16,0)),1)</f>
        <v>70</v>
      </c>
      <c r="F7" s="63">
        <f>ROUND(INDEX(业主满意度!$J$4:$J$16,MATCH(F3,业主满意度!$H$4:$H$16,0)),1)</f>
        <v>70</v>
      </c>
      <c r="G7" s="63">
        <f>ROUND(INDEX(业主满意度!$J$4:$J$16,MATCH(G3,业主满意度!$H$4:$H$16,0)),1)</f>
        <v>70</v>
      </c>
      <c r="H7" s="63">
        <f>ROUND(INDEX(业主满意度!$J$4:$J$16,MATCH(H3,业主满意度!$H$4:$H$16,0)),1)</f>
        <v>70</v>
      </c>
      <c r="I7" s="63">
        <f>ROUND(INDEX(业主满意度!$J$4:$J$16,MATCH(I3,业主满意度!$H$4:$H$16,0)),1)</f>
        <v>70</v>
      </c>
      <c r="J7" s="63">
        <f>ROUND(INDEX(业主满意度!$J$4:$J$16,MATCH(J3,业主满意度!$H$4:$H$16,0)),1)</f>
        <v>70</v>
      </c>
      <c r="K7" s="63">
        <f>ROUND(INDEX(业主满意度!$J$4:$J$16,MATCH(K3,业主满意度!$H$4:$H$16,0)),1)</f>
        <v>70</v>
      </c>
      <c r="L7" s="63">
        <f>ROUND(INDEX(业主满意度!$J$4:$J$16,MATCH(L3,业主满意度!$H$4:$H$16,0)),1)</f>
        <v>70</v>
      </c>
      <c r="M7" s="63">
        <f>ROUND(INDEX(业主满意度!$J$4:$J$16,MATCH(M3,业主满意度!$H$4:$H$16,0)),1)</f>
        <v>70</v>
      </c>
      <c r="N7" s="63">
        <f>ROUND(INDEX(业主满意度!$J$4:$J$16,MATCH(N3,业主满意度!$H$4:$H$16,0)),1)</f>
        <v>70</v>
      </c>
      <c r="O7" s="63">
        <f>ROUND(INDEX(业主满意度!$J$4:$J$16,MATCH(O3,业主满意度!$H$4:$H$16,0)),1)</f>
        <v>70</v>
      </c>
      <c r="P7" s="63">
        <f>ROUND(INDEX(业主满意度!$J$4:$J$16,MATCH(P3,业主满意度!$H$4:$H$16,0)),1)</f>
        <v>70</v>
      </c>
      <c r="Q7" s="163"/>
    </row>
    <row r="8" ht="35" customHeight="1" spans="1:18">
      <c r="A8" s="164"/>
      <c r="B8" s="164" t="s">
        <v>21</v>
      </c>
      <c r="C8" s="165">
        <v>0.1</v>
      </c>
      <c r="D8" s="169">
        <f>ROUND(INDEX(投诉完成率!$P$5:$P$17,MATCH(D3,投诉完成率!$O$5:$O$17,0)),1)</f>
        <v>80</v>
      </c>
      <c r="E8" s="169">
        <f>ROUND(INDEX(投诉完成率!$P$5:$P$17,MATCH(E3,投诉完成率!$O$5:$O$17,0)),1)</f>
        <v>100</v>
      </c>
      <c r="F8" s="169">
        <f>ROUND(INDEX(投诉完成率!$P$5:$P$17,MATCH(F3,投诉完成率!$O$5:$O$17,0)),1)</f>
        <v>95</v>
      </c>
      <c r="G8" s="169">
        <f>ROUND(INDEX(投诉完成率!$P$5:$P$17,MATCH(G3,投诉完成率!$O$5:$O$17,0)),1)</f>
        <v>85</v>
      </c>
      <c r="H8" s="169">
        <f>ROUND(INDEX(投诉完成率!$P$5:$P$17,MATCH(H3,投诉完成率!$O$5:$O$17,0)),1)</f>
        <v>90</v>
      </c>
      <c r="I8" s="169">
        <f>ROUND(INDEX(投诉完成率!$P$5:$P$17,MATCH(I3,投诉完成率!$O$5:$O$17,0)),1)</f>
        <v>100</v>
      </c>
      <c r="J8" s="169">
        <f>ROUND(INDEX(投诉完成率!$P$5:$P$17,MATCH(J3,投诉完成率!$O$5:$O$17,0)),1)</f>
        <v>90</v>
      </c>
      <c r="K8" s="169">
        <f>ROUND(INDEX(投诉完成率!$P$5:$P$17,MATCH(K3,投诉完成率!$O$5:$O$17,0)),1)</f>
        <v>67.5</v>
      </c>
      <c r="L8" s="169">
        <f>ROUND(INDEX(投诉完成率!$P$5:$P$17,MATCH(L3,投诉完成率!$O$5:$O$17,0)),1)</f>
        <v>95</v>
      </c>
      <c r="M8" s="169">
        <f>ROUND(INDEX(投诉完成率!$P$5:$P$17,MATCH(M3,投诉完成率!$O$5:$O$17,0)),1)</f>
        <v>80</v>
      </c>
      <c r="N8" s="169">
        <f>ROUND(INDEX(投诉完成率!$P$5:$P$17,MATCH(N3,投诉完成率!$O$5:$O$17,0)),1)</f>
        <v>81</v>
      </c>
      <c r="O8" s="169">
        <f>ROUND(INDEX(投诉完成率!$P$5:$P$17,MATCH(O3,投诉完成率!$O$5:$O$17,0)),1)</f>
        <v>80</v>
      </c>
      <c r="P8" s="169">
        <f>ROUND(INDEX(投诉完成率!$P$5:$P$17,MATCH(P3,投诉完成率!$O$5:$O$17,0)),1)</f>
        <v>80.8</v>
      </c>
    </row>
    <row r="9" ht="35" customHeight="1" spans="1:18">
      <c r="A9" s="164" t="s">
        <v>22</v>
      </c>
      <c r="B9" s="164" t="s">
        <v>23</v>
      </c>
      <c r="C9" s="165">
        <v>0.1</v>
      </c>
      <c r="D9" s="166">
        <f>ROUND(INDEX(设备设施管理!$H$3:$H$15,MATCH(D3,设备设施管理!$G$3:$G$15,0)),1)</f>
        <v>0</v>
      </c>
      <c r="E9" s="166">
        <f>ROUND(INDEX(设备设施管理!$H$3:$H$15,MATCH(E3,设备设施管理!$G$3:$G$15,0)),1)</f>
        <v>0</v>
      </c>
      <c r="F9" s="166">
        <f>ROUND(INDEX(设备设施管理!$H$3:$H$15,MATCH(F3,设备设施管理!$G$3:$G$15,0)),1)</f>
        <v>0</v>
      </c>
      <c r="G9" s="166">
        <f>ROUND(INDEX(设备设施管理!$H$3:$H$15,MATCH(G3,设备设施管理!$G$3:$G$15,0)),1)</f>
        <v>0</v>
      </c>
      <c r="H9" s="166">
        <f>ROUND(INDEX(设备设施管理!$H$3:$H$15,MATCH(H3,设备设施管理!$G$3:$G$15,0)),1)</f>
        <v>0</v>
      </c>
      <c r="I9" s="166">
        <f>ROUND(INDEX(设备设施管理!$H$3:$H$15,MATCH(I3,设备设施管理!$G$3:$G$15,0)),1)</f>
        <v>0</v>
      </c>
      <c r="J9" s="166">
        <f>ROUND(INDEX(设备设施管理!$H$3:$H$15,MATCH(J3,设备设施管理!$G$3:$G$15,0)),1)</f>
        <v>0</v>
      </c>
      <c r="K9" s="166">
        <f>ROUND(INDEX(设备设施管理!$H$3:$H$15,MATCH(K3,设备设施管理!$G$3:$G$15,0)),1)</f>
        <v>0</v>
      </c>
      <c r="L9" s="166">
        <f>ROUND(INDEX(设备设施管理!$H$3:$H$15,MATCH(L3,设备设施管理!$G$3:$G$15,0)),1)</f>
        <v>0</v>
      </c>
      <c r="M9" s="166">
        <f>ROUND(INDEX(设备设施管理!$H$3:$H$15,MATCH(M3,设备设施管理!$G$3:$G$15,0)),1)</f>
        <v>0</v>
      </c>
      <c r="N9" s="166">
        <f>ROUND(INDEX(设备设施管理!$H$3:$H$15,MATCH(N3,设备设施管理!$G$3:$G$15,0)),1)</f>
        <v>0</v>
      </c>
      <c r="O9" s="166">
        <f>ROUND(INDEX(设备设施管理!$H$3:$H$15,MATCH(O3,设备设施管理!$G$3:$G$15,0)),1)</f>
        <v>0</v>
      </c>
      <c r="P9" s="166">
        <f>ROUND(INDEX(设备设施管理!$H$3:$H$15,MATCH(P3,设备设施管理!$G$3:$G$15,0)),1)</f>
        <v>0</v>
      </c>
    </row>
    <row r="10" ht="35" customHeight="1" spans="1:18">
      <c r="A10" s="164"/>
      <c r="B10" s="164" t="s">
        <v>24</v>
      </c>
      <c r="C10" s="165">
        <v>0.1</v>
      </c>
      <c r="D10" s="166">
        <f>ROUND(INDEX(自用能耗成本!$K$3:$K$15,MATCH(D3,自用能耗成本!$J$3:$J$15,0)),1)</f>
        <v>119</v>
      </c>
      <c r="E10" s="166">
        <f>ROUND(INDEX(自用能耗成本!$K$3:$K$15,MATCH(E3,自用能耗成本!$J$3:$J$15,0)),1)</f>
        <v>111.4</v>
      </c>
      <c r="F10" s="166">
        <f>ROUND(INDEX(自用能耗成本!$K$3:$K$15,MATCH(F3,自用能耗成本!$J$3:$J$15,0)),1)</f>
        <v>79.4</v>
      </c>
      <c r="G10" s="166">
        <f>ROUND(INDEX(自用能耗成本!$K$3:$K$15,MATCH(G3,自用能耗成本!$J$3:$J$15,0)),1)</f>
        <v>120</v>
      </c>
      <c r="H10" s="166">
        <f>ROUND(INDEX(自用能耗成本!$K$3:$K$15,MATCH(H3,自用能耗成本!$J$3:$J$15,0)),1)</f>
        <v>70.6</v>
      </c>
      <c r="I10" s="166">
        <f>ROUND(INDEX(自用能耗成本!$K$3:$K$15,MATCH(I3,自用能耗成本!$J$3:$J$15,0)),1)</f>
        <v>120</v>
      </c>
      <c r="J10" s="166">
        <f>ROUND(INDEX(自用能耗成本!$K$3:$K$15,MATCH(J3,自用能耗成本!$J$3:$J$15,0)),1)</f>
        <v>113.5</v>
      </c>
      <c r="K10" s="166">
        <f>ROUND(INDEX(自用能耗成本!$K$3:$K$15,MATCH(K3,自用能耗成本!$J$3:$J$15,0)),1)</f>
        <v>99.6</v>
      </c>
      <c r="L10" s="166">
        <f>ROUND(INDEX(自用能耗成本!$K$3:$K$15,MATCH(L3,自用能耗成本!$J$3:$J$15,0)),1)</f>
        <v>120</v>
      </c>
      <c r="M10" s="166">
        <f>ROUND(INDEX(自用能耗成本!$K$3:$K$15,MATCH(M3,自用能耗成本!$J$3:$J$15,0)),1)</f>
        <v>115.4</v>
      </c>
      <c r="N10" s="166">
        <f>ROUND(INDEX(自用能耗成本!$K$3:$K$15,MATCH(N3,自用能耗成本!$J$3:$J$15,0)),1)</f>
        <v>75.8</v>
      </c>
      <c r="O10" s="166">
        <f>ROUND(INDEX(自用能耗成本!$K$3:$K$15,MATCH(O3,自用能耗成本!$J$3:$J$15,0)),1)</f>
        <v>120</v>
      </c>
      <c r="P10" s="166">
        <f>ROUND(INDEX(自用能耗成本!$K$3:$K$15,MATCH(P3,自用能耗成本!$J$3:$J$15,0)),1)</f>
        <v>120</v>
      </c>
    </row>
    <row r="11" ht="35" customHeight="1" spans="1:18">
      <c r="A11" s="164" t="s">
        <v>25</v>
      </c>
      <c r="B11" s="164" t="s">
        <v>26</v>
      </c>
      <c r="C11" s="165">
        <v>0.05</v>
      </c>
      <c r="D11" s="166">
        <f>ROUND(INDEX(基础信息抽查!$Q$3:$Q$15,MATCH(D3,基础信息抽查!$O$3:$O$15,0)),1)</f>
        <v>95.3</v>
      </c>
      <c r="E11" s="166">
        <f>ROUND(INDEX(基础信息抽查!$Q$3:$Q$15,MATCH(E3,基础信息抽查!$O$3:$O$15,0)),1)</f>
        <v>100</v>
      </c>
      <c r="F11" s="166">
        <f>ROUND(INDEX(基础信息抽查!$Q$3:$Q$15,MATCH(F3,基础信息抽查!$O$3:$O$15,0)),1)</f>
        <v>100</v>
      </c>
      <c r="G11" s="166">
        <f>ROUND(INDEX(基础信息抽查!$Q$3:$Q$15,MATCH(G3,基础信息抽查!$O$3:$O$15,0)),1)</f>
        <v>69.5</v>
      </c>
      <c r="H11" s="166">
        <f>ROUND(INDEX(基础信息抽查!$Q$3:$Q$15,MATCH(H3,基础信息抽查!$O$3:$O$15,0)),1)</f>
        <v>89.5</v>
      </c>
      <c r="I11" s="166">
        <f>ROUND(INDEX(基础信息抽查!$Q$3:$Q$15,MATCH(I3,基础信息抽查!$O$3:$O$15,0)),1)</f>
        <v>93.8</v>
      </c>
      <c r="J11" s="166">
        <f>ROUND(INDEX(基础信息抽查!$Q$3:$Q$15,MATCH(J3,基础信息抽查!$O$3:$O$15,0)),1)</f>
        <v>95.3</v>
      </c>
      <c r="K11" s="166">
        <f>ROUND(INDEX(基础信息抽查!$Q$3:$Q$15,MATCH(K3,基础信息抽查!$O$3:$O$15,0)),1)</f>
        <v>100</v>
      </c>
      <c r="L11" s="166">
        <f>ROUND(INDEX(基础信息抽查!$Q$3:$Q$15,MATCH(L3,基础信息抽查!$O$3:$O$15,0)),1)</f>
        <v>95.4</v>
      </c>
      <c r="M11" s="166">
        <f>ROUND(INDEX(基础信息抽查!$Q$3:$Q$15,MATCH(M3,基础信息抽查!$O$3:$O$15,0)),1)</f>
        <v>95.8</v>
      </c>
      <c r="N11" s="166">
        <f>ROUND(INDEX(基础信息抽查!$Q$3:$Q$15,MATCH(N3,基础信息抽查!$O$3:$O$15,0)),1)</f>
        <v>82</v>
      </c>
      <c r="O11" s="166">
        <f>ROUND(INDEX(基础信息抽查!$Q$3:$Q$15,MATCH(O3,基础信息抽查!$O$3:$O$15,0)),1)</f>
        <v>85.9</v>
      </c>
      <c r="P11" s="166">
        <f>ROUND(INDEX(基础信息抽查!$Q$3:$Q$15,MATCH(P3,基础信息抽查!$O$3:$O$15,0)),1)</f>
        <v>96</v>
      </c>
    </row>
    <row r="12" ht="35" customHeight="1" spans="1:18">
      <c r="A12" s="164"/>
      <c r="B12" s="164" t="s">
        <v>27</v>
      </c>
      <c r="C12" s="165">
        <v>0.05</v>
      </c>
      <c r="D12" s="166">
        <f>ROUND(INDEX('400知晓率'!$R$3:$R$15,MATCH(D3,'400知晓率'!$P$3:$P$15,0)),1)</f>
        <v>141.7</v>
      </c>
      <c r="E12" s="166">
        <f>ROUND(INDEX('400知晓率'!$R$3:$R$15,MATCH(E3,'400知晓率'!$P$3:$P$15,0)),1)</f>
        <v>104.6</v>
      </c>
      <c r="F12" s="166">
        <f>ROUND(INDEX('400知晓率'!$R$3:$R$15,MATCH(F3,'400知晓率'!$P$3:$P$15,0)),1)</f>
        <v>113.7</v>
      </c>
      <c r="G12" s="166">
        <f>ROUND(INDEX('400知晓率'!$R$3:$R$15,MATCH(G3,'400知晓率'!$P$3:$P$15,0)),1)</f>
        <v>92.8</v>
      </c>
      <c r="H12" s="166">
        <f>ROUND(INDEX('400知晓率'!$R$3:$R$15,MATCH(H3,'400知晓率'!$P$3:$P$15,0)),1)</f>
        <v>100.2</v>
      </c>
      <c r="I12" s="166">
        <f>ROUND(INDEX('400知晓率'!$R$3:$R$15,MATCH(I3,'400知晓率'!$P$3:$P$15,0)),1)</f>
        <v>108.6</v>
      </c>
      <c r="J12" s="166">
        <f>ROUND(INDEX('400知晓率'!$R$3:$R$15,MATCH(J3,'400知晓率'!$P$3:$P$15,0)),1)</f>
        <v>101.1</v>
      </c>
      <c r="K12" s="166">
        <f>ROUND(INDEX('400知晓率'!$R$3:$R$15,MATCH(K3,'400知晓率'!$P$3:$P$15,0)),1)</f>
        <v>111.5</v>
      </c>
      <c r="L12" s="166">
        <f>ROUND(INDEX('400知晓率'!$R$3:$R$15,MATCH(L3,'400知晓率'!$P$3:$P$15,0)),1)</f>
        <v>119.6</v>
      </c>
      <c r="M12" s="166">
        <f>ROUND(INDEX('400知晓率'!$R$3:$R$15,MATCH(M3,'400知晓率'!$P$3:$P$15,0)),1)</f>
        <v>91.8</v>
      </c>
      <c r="N12" s="166">
        <f>ROUND(INDEX('400知晓率'!$R$3:$R$15,MATCH(N3,'400知晓率'!$P$3:$P$15,0)),1)</f>
        <v>112.7</v>
      </c>
      <c r="O12" s="166">
        <f>ROUND(INDEX('400知晓率'!$R$3:$R$15,MATCH(O3,'400知晓率'!$P$3:$P$15,0)),1)</f>
        <v>101</v>
      </c>
      <c r="P12" s="166">
        <f>ROUND(INDEX('400知晓率'!$R$3:$R$15,MATCH(P3,'400知晓率'!$P$3:$P$15,0)),1)</f>
        <v>112.3</v>
      </c>
    </row>
    <row r="13" ht="35" customHeight="1" spans="1:18">
      <c r="A13" s="170" t="s">
        <v>28</v>
      </c>
      <c r="B13" s="170"/>
      <c r="C13" s="168" t="s">
        <v>29</v>
      </c>
      <c r="D13" s="168">
        <v>0</v>
      </c>
      <c r="E13" s="168">
        <v>0</v>
      </c>
      <c r="F13" s="168">
        <v>0</v>
      </c>
      <c r="G13" s="168">
        <v>0</v>
      </c>
      <c r="H13" s="168">
        <v>0</v>
      </c>
      <c r="I13" s="168">
        <v>0</v>
      </c>
      <c r="J13" s="168">
        <v>0</v>
      </c>
      <c r="K13" s="168">
        <v>0</v>
      </c>
      <c r="L13" s="168">
        <v>0</v>
      </c>
      <c r="M13" s="168">
        <v>0</v>
      </c>
      <c r="N13" s="168">
        <v>0</v>
      </c>
      <c r="O13" s="168">
        <v>0</v>
      </c>
      <c r="P13" s="168">
        <v>0</v>
      </c>
    </row>
    <row r="14" ht="35" customHeight="1" spans="1:18">
      <c r="A14" s="170" t="s">
        <v>30</v>
      </c>
      <c r="B14" s="170"/>
      <c r="C14" s="168" t="s">
        <v>29</v>
      </c>
      <c r="D14" s="168">
        <f>D4*$C$4+D5*$C$5+D6*$C$6+D7*$C$7+D8*$C$8+D9*$C$9+D10*$C$10+D11*$C$11+D12*$C$12</f>
        <v>64.71</v>
      </c>
      <c r="E14" s="168">
        <f t="shared" ref="E14:P14" si="0">E4*$C$4+E5*$C$5+E6*$C$6+E7*$C$7+E8*$C$8+E9*$C$9+E10*$C$10+E11*$C$11+E12*$C$12</f>
        <v>63.595</v>
      </c>
      <c r="F14" s="168">
        <f t="shared" si="0"/>
        <v>63.15</v>
      </c>
      <c r="G14" s="168">
        <f t="shared" si="0"/>
        <v>59.19</v>
      </c>
      <c r="H14" s="168">
        <f t="shared" si="0"/>
        <v>58.435</v>
      </c>
      <c r="I14" s="168">
        <f t="shared" si="0"/>
        <v>63.45</v>
      </c>
      <c r="J14" s="168">
        <f t="shared" si="0"/>
        <v>63.68</v>
      </c>
      <c r="K14" s="168">
        <f t="shared" si="0"/>
        <v>62.83</v>
      </c>
      <c r="L14" s="168">
        <f t="shared" si="0"/>
        <v>65.015</v>
      </c>
      <c r="M14" s="168">
        <f t="shared" si="0"/>
        <v>59.69</v>
      </c>
      <c r="N14" s="168">
        <f t="shared" si="0"/>
        <v>59.935</v>
      </c>
      <c r="O14" s="168">
        <f t="shared" si="0"/>
        <v>57.845</v>
      </c>
      <c r="P14" s="168">
        <f t="shared" si="0"/>
        <v>66.205</v>
      </c>
    </row>
    <row r="15" ht="35" customHeight="1" spans="1:18">
      <c r="A15" s="170" t="s">
        <v>31</v>
      </c>
      <c r="B15" s="170"/>
      <c r="C15" s="13" t="s">
        <v>29</v>
      </c>
      <c r="D15" s="13">
        <f>RANK(D14,$D$14:$P$14)</f>
        <v>3</v>
      </c>
      <c r="E15" s="13">
        <f t="shared" ref="E15:P15" si="1">RANK(E14,$D$14:$P$14)</f>
        <v>5</v>
      </c>
      <c r="F15" s="13">
        <f t="shared" si="1"/>
        <v>7</v>
      </c>
      <c r="G15" s="13">
        <f t="shared" si="1"/>
        <v>11</v>
      </c>
      <c r="H15" s="13">
        <f t="shared" si="1"/>
        <v>12</v>
      </c>
      <c r="I15" s="13">
        <f t="shared" si="1"/>
        <v>6</v>
      </c>
      <c r="J15" s="13">
        <f t="shared" si="1"/>
        <v>4</v>
      </c>
      <c r="K15" s="13">
        <f t="shared" si="1"/>
        <v>8</v>
      </c>
      <c r="L15" s="13">
        <f t="shared" si="1"/>
        <v>2</v>
      </c>
      <c r="M15" s="13">
        <f t="shared" si="1"/>
        <v>10</v>
      </c>
      <c r="N15" s="13">
        <f t="shared" si="1"/>
        <v>9</v>
      </c>
      <c r="O15" s="13">
        <f t="shared" si="1"/>
        <v>13</v>
      </c>
      <c r="P15" s="13">
        <f t="shared" si="1"/>
        <v>1</v>
      </c>
    </row>
    <row r="17" spans="1:18">
      <c r="P17" s="160"/>
    </row>
    <row r="19" ht="18" spans="1:18">
      <c r="A19" s="171" t="s">
        <v>32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</row>
    <row r="20" ht="35" customHeight="1" spans="1:18">
      <c r="A20" s="161" t="s">
        <v>0</v>
      </c>
      <c r="B20" s="161"/>
      <c r="C20" s="162"/>
      <c r="D20" s="162" t="s">
        <v>2</v>
      </c>
      <c r="E20" s="162" t="s">
        <v>3</v>
      </c>
      <c r="F20" s="162" t="s">
        <v>4</v>
      </c>
      <c r="G20" s="162" t="s">
        <v>5</v>
      </c>
      <c r="H20" s="162" t="s">
        <v>6</v>
      </c>
      <c r="I20" s="162" t="s">
        <v>7</v>
      </c>
      <c r="J20" s="162" t="s">
        <v>8</v>
      </c>
      <c r="K20" s="162" t="s">
        <v>9</v>
      </c>
      <c r="L20" s="162" t="s">
        <v>10</v>
      </c>
      <c r="M20" s="162" t="s">
        <v>11</v>
      </c>
      <c r="N20" s="162" t="s">
        <v>12</v>
      </c>
      <c r="O20" s="162" t="s">
        <v>13</v>
      </c>
      <c r="P20" s="162" t="s">
        <v>14</v>
      </c>
      <c r="Q20" s="172"/>
    </row>
    <row r="21" ht="35" customHeight="1" spans="1:18">
      <c r="A21" s="164" t="s">
        <v>15</v>
      </c>
      <c r="B21" s="164" t="s">
        <v>16</v>
      </c>
      <c r="C21" s="165">
        <v>0.15</v>
      </c>
      <c r="D21" s="166">
        <f>ROUND(D4*0.15,1)</f>
        <v>10.1</v>
      </c>
      <c r="E21" s="166">
        <f>ROUND(E4*0.15,1)</f>
        <v>9.7</v>
      </c>
      <c r="F21" s="166">
        <f t="shared" ref="E21:P21" si="2">ROUND(F4*0.15,1)</f>
        <v>11.2</v>
      </c>
      <c r="G21" s="166">
        <f t="shared" si="2"/>
        <v>9.6</v>
      </c>
      <c r="H21" s="166">
        <f t="shared" si="2"/>
        <v>9</v>
      </c>
      <c r="I21" s="166">
        <f t="shared" si="2"/>
        <v>8.6</v>
      </c>
      <c r="J21" s="166">
        <f t="shared" si="2"/>
        <v>11.2</v>
      </c>
      <c r="K21" s="166">
        <f t="shared" si="2"/>
        <v>11.7</v>
      </c>
      <c r="L21" s="166">
        <f t="shared" si="2"/>
        <v>9.8</v>
      </c>
      <c r="M21" s="166">
        <f t="shared" si="2"/>
        <v>8.4</v>
      </c>
      <c r="N21" s="166">
        <f t="shared" si="2"/>
        <v>8</v>
      </c>
      <c r="O21" s="166">
        <f t="shared" si="2"/>
        <v>5.6</v>
      </c>
      <c r="P21" s="166">
        <f t="shared" si="2"/>
        <v>11.4</v>
      </c>
      <c r="Q21" s="172"/>
      <c r="R21" s="173"/>
    </row>
    <row r="22" ht="35" customHeight="1" spans="1:18">
      <c r="A22" s="164"/>
      <c r="B22" s="164" t="s">
        <v>17</v>
      </c>
      <c r="C22" s="167">
        <v>0.1</v>
      </c>
      <c r="D22" s="63">
        <f>ROUND(D5*0.1,1)</f>
        <v>5.4</v>
      </c>
      <c r="E22" s="63">
        <f t="shared" ref="E22:P22" si="3">ROUND(E5*0.1,1)</f>
        <v>5.1</v>
      </c>
      <c r="F22" s="63">
        <f t="shared" si="3"/>
        <v>6.3</v>
      </c>
      <c r="G22" s="63">
        <f t="shared" si="3"/>
        <v>3.5</v>
      </c>
      <c r="H22" s="63">
        <f t="shared" si="3"/>
        <v>6.4</v>
      </c>
      <c r="I22" s="63">
        <f t="shared" si="3"/>
        <v>5.2</v>
      </c>
      <c r="J22" s="63">
        <f t="shared" si="3"/>
        <v>4.8</v>
      </c>
      <c r="K22" s="63">
        <f t="shared" si="3"/>
        <v>6.3</v>
      </c>
      <c r="L22" s="63">
        <f t="shared" si="3"/>
        <v>5.5</v>
      </c>
      <c r="M22" s="63">
        <f t="shared" si="3"/>
        <v>4.9</v>
      </c>
      <c r="N22" s="63">
        <f t="shared" si="3"/>
        <v>6.8</v>
      </c>
      <c r="O22" s="63">
        <f t="shared" si="3"/>
        <v>5.4</v>
      </c>
      <c r="P22" s="63">
        <f t="shared" si="3"/>
        <v>6.8</v>
      </c>
      <c r="R22" s="173"/>
    </row>
    <row r="23" ht="35" customHeight="1" spans="1:18">
      <c r="A23" s="164"/>
      <c r="B23" s="164" t="s">
        <v>18</v>
      </c>
      <c r="C23" s="167">
        <v>0.1</v>
      </c>
      <c r="D23" s="63">
        <f>ROUND(D6*0.1,1)</f>
        <v>0</v>
      </c>
      <c r="E23" s="63">
        <f t="shared" ref="E23:P23" si="4">ROUND(E6*0.1,1)</f>
        <v>0</v>
      </c>
      <c r="F23" s="63">
        <f t="shared" si="4"/>
        <v>0</v>
      </c>
      <c r="G23" s="63">
        <f t="shared" si="4"/>
        <v>0</v>
      </c>
      <c r="H23" s="63">
        <f t="shared" si="4"/>
        <v>0</v>
      </c>
      <c r="I23" s="63">
        <f t="shared" si="4"/>
        <v>0</v>
      </c>
      <c r="J23" s="63">
        <f t="shared" si="4"/>
        <v>0</v>
      </c>
      <c r="K23" s="63">
        <f t="shared" si="4"/>
        <v>0</v>
      </c>
      <c r="L23" s="63">
        <f t="shared" si="4"/>
        <v>0</v>
      </c>
      <c r="M23" s="63">
        <f t="shared" si="4"/>
        <v>0</v>
      </c>
      <c r="N23" s="63">
        <f t="shared" si="4"/>
        <v>2.3</v>
      </c>
      <c r="O23" s="63">
        <f t="shared" si="4"/>
        <v>0</v>
      </c>
      <c r="P23" s="63">
        <f t="shared" si="4"/>
        <v>0</v>
      </c>
      <c r="R23" s="173"/>
    </row>
    <row r="24" ht="35" customHeight="1" spans="1:18">
      <c r="A24" s="164" t="s">
        <v>19</v>
      </c>
      <c r="B24" s="164" t="s">
        <v>20</v>
      </c>
      <c r="C24" s="167">
        <v>0.25</v>
      </c>
      <c r="D24" s="166">
        <f>ROUND(D7*0.25,1)</f>
        <v>17.5</v>
      </c>
      <c r="E24" s="166">
        <f t="shared" ref="E24:P24" si="5">ROUND(E7*0.25,1)</f>
        <v>17.5</v>
      </c>
      <c r="F24" s="166">
        <f t="shared" si="5"/>
        <v>17.5</v>
      </c>
      <c r="G24" s="166">
        <f t="shared" si="5"/>
        <v>17.5</v>
      </c>
      <c r="H24" s="166">
        <f t="shared" si="5"/>
        <v>17.5</v>
      </c>
      <c r="I24" s="166">
        <f t="shared" si="5"/>
        <v>17.5</v>
      </c>
      <c r="J24" s="166">
        <f t="shared" si="5"/>
        <v>17.5</v>
      </c>
      <c r="K24" s="166">
        <f t="shared" si="5"/>
        <v>17.5</v>
      </c>
      <c r="L24" s="166">
        <f t="shared" si="5"/>
        <v>17.5</v>
      </c>
      <c r="M24" s="166">
        <f t="shared" si="5"/>
        <v>17.5</v>
      </c>
      <c r="N24" s="166">
        <f t="shared" si="5"/>
        <v>17.5</v>
      </c>
      <c r="O24" s="166">
        <f t="shared" si="5"/>
        <v>17.5</v>
      </c>
      <c r="P24" s="166">
        <f t="shared" si="5"/>
        <v>17.5</v>
      </c>
      <c r="R24" s="173"/>
    </row>
    <row r="25" ht="35" customHeight="1" spans="1:18">
      <c r="A25" s="164"/>
      <c r="B25" s="164" t="s">
        <v>21</v>
      </c>
      <c r="C25" s="165">
        <v>0.1</v>
      </c>
      <c r="D25" s="169">
        <f>ROUND(D8*0.1,1)</f>
        <v>8</v>
      </c>
      <c r="E25" s="169">
        <f t="shared" ref="E25:P25" si="6">ROUND(E8*0.1,1)</f>
        <v>10</v>
      </c>
      <c r="F25" s="169">
        <f t="shared" si="6"/>
        <v>9.5</v>
      </c>
      <c r="G25" s="169">
        <f t="shared" si="6"/>
        <v>8.5</v>
      </c>
      <c r="H25" s="169">
        <f t="shared" si="6"/>
        <v>9</v>
      </c>
      <c r="I25" s="169">
        <f t="shared" si="6"/>
        <v>10</v>
      </c>
      <c r="J25" s="169">
        <f t="shared" si="6"/>
        <v>9</v>
      </c>
      <c r="K25" s="169">
        <f t="shared" si="6"/>
        <v>6.8</v>
      </c>
      <c r="L25" s="169">
        <f t="shared" si="6"/>
        <v>9.5</v>
      </c>
      <c r="M25" s="169">
        <f t="shared" si="6"/>
        <v>8</v>
      </c>
      <c r="N25" s="169">
        <f t="shared" si="6"/>
        <v>8.1</v>
      </c>
      <c r="O25" s="169">
        <f t="shared" si="6"/>
        <v>8</v>
      </c>
      <c r="P25" s="169">
        <f t="shared" si="6"/>
        <v>8.1</v>
      </c>
      <c r="R25" s="173"/>
    </row>
    <row r="26" ht="35" customHeight="1" spans="1:18">
      <c r="A26" s="164" t="s">
        <v>33</v>
      </c>
      <c r="B26" s="164" t="s">
        <v>23</v>
      </c>
      <c r="C26" s="165">
        <v>0.1</v>
      </c>
      <c r="D26" s="166">
        <f>ROUND(D9*0.1,1)</f>
        <v>0</v>
      </c>
      <c r="E26" s="166">
        <f t="shared" ref="E26:P26" si="7">ROUND(E9*0.1,1)</f>
        <v>0</v>
      </c>
      <c r="F26" s="166">
        <f t="shared" si="7"/>
        <v>0</v>
      </c>
      <c r="G26" s="166">
        <f t="shared" si="7"/>
        <v>0</v>
      </c>
      <c r="H26" s="166">
        <f t="shared" si="7"/>
        <v>0</v>
      </c>
      <c r="I26" s="166">
        <f t="shared" si="7"/>
        <v>0</v>
      </c>
      <c r="J26" s="166">
        <f t="shared" si="7"/>
        <v>0</v>
      </c>
      <c r="K26" s="166">
        <f t="shared" si="7"/>
        <v>0</v>
      </c>
      <c r="L26" s="166">
        <f t="shared" si="7"/>
        <v>0</v>
      </c>
      <c r="M26" s="166">
        <f t="shared" si="7"/>
        <v>0</v>
      </c>
      <c r="N26" s="166">
        <f t="shared" si="7"/>
        <v>0</v>
      </c>
      <c r="O26" s="166">
        <f t="shared" si="7"/>
        <v>0</v>
      </c>
      <c r="P26" s="166">
        <f t="shared" si="7"/>
        <v>0</v>
      </c>
      <c r="R26" s="173"/>
    </row>
    <row r="27" ht="35" customHeight="1" spans="1:18">
      <c r="A27" s="164"/>
      <c r="B27" s="164" t="s">
        <v>24</v>
      </c>
      <c r="C27" s="165">
        <v>0.1</v>
      </c>
      <c r="D27" s="166">
        <f>ROUND(D10*0.05,1)</f>
        <v>6</v>
      </c>
      <c r="E27" s="166">
        <f t="shared" ref="E27:P27" si="8">ROUND(E10*0.05,1)</f>
        <v>5.6</v>
      </c>
      <c r="F27" s="166">
        <f t="shared" si="8"/>
        <v>4</v>
      </c>
      <c r="G27" s="166">
        <f t="shared" si="8"/>
        <v>6</v>
      </c>
      <c r="H27" s="166">
        <f t="shared" si="8"/>
        <v>3.5</v>
      </c>
      <c r="I27" s="166">
        <f t="shared" si="8"/>
        <v>6</v>
      </c>
      <c r="J27" s="166">
        <f t="shared" si="8"/>
        <v>5.7</v>
      </c>
      <c r="K27" s="166">
        <f t="shared" si="8"/>
        <v>5</v>
      </c>
      <c r="L27" s="166">
        <f t="shared" si="8"/>
        <v>6</v>
      </c>
      <c r="M27" s="166">
        <f t="shared" si="8"/>
        <v>5.8</v>
      </c>
      <c r="N27" s="166">
        <f t="shared" si="8"/>
        <v>3.8</v>
      </c>
      <c r="O27" s="166">
        <f t="shared" si="8"/>
        <v>6</v>
      </c>
      <c r="P27" s="166">
        <f t="shared" si="8"/>
        <v>6</v>
      </c>
      <c r="R27" s="173"/>
    </row>
    <row r="28" ht="35" customHeight="1" spans="1:18">
      <c r="A28" s="164" t="s">
        <v>25</v>
      </c>
      <c r="B28" s="164" t="s">
        <v>34</v>
      </c>
      <c r="C28" s="165">
        <v>0.1</v>
      </c>
      <c r="D28" s="166">
        <f>ROUND(D11*0.05,1)+ROUND(D12*0.05,1)</f>
        <v>11.9</v>
      </c>
      <c r="E28" s="166">
        <f t="shared" ref="E28:P28" si="9">ROUND(E11*0.05,1)+ROUND(E12*0.05,1)</f>
        <v>10.2</v>
      </c>
      <c r="F28" s="166">
        <f t="shared" si="9"/>
        <v>10.7</v>
      </c>
      <c r="G28" s="166">
        <f t="shared" si="9"/>
        <v>8.1</v>
      </c>
      <c r="H28" s="166">
        <f t="shared" si="9"/>
        <v>9.5</v>
      </c>
      <c r="I28" s="166">
        <f t="shared" si="9"/>
        <v>10.1</v>
      </c>
      <c r="J28" s="166">
        <f t="shared" si="9"/>
        <v>9.9</v>
      </c>
      <c r="K28" s="166">
        <f t="shared" si="9"/>
        <v>10.6</v>
      </c>
      <c r="L28" s="166">
        <f t="shared" si="9"/>
        <v>10.8</v>
      </c>
      <c r="M28" s="166">
        <f t="shared" si="9"/>
        <v>9.4</v>
      </c>
      <c r="N28" s="166">
        <f t="shared" si="9"/>
        <v>9.7</v>
      </c>
      <c r="O28" s="166">
        <f t="shared" si="9"/>
        <v>9.4</v>
      </c>
      <c r="P28" s="166">
        <f t="shared" si="9"/>
        <v>10.4</v>
      </c>
      <c r="R28" s="173"/>
    </row>
    <row r="29" ht="35" customHeight="1" spans="1:18">
      <c r="A29" s="170" t="s">
        <v>28</v>
      </c>
      <c r="B29" s="170"/>
      <c r="C29" s="168"/>
      <c r="D29" s="168">
        <f>D13</f>
        <v>0</v>
      </c>
      <c r="E29" s="168">
        <f t="shared" ref="E29:P29" si="10">E13</f>
        <v>0</v>
      </c>
      <c r="F29" s="168">
        <v>0</v>
      </c>
      <c r="G29" s="168">
        <f t="shared" si="10"/>
        <v>0</v>
      </c>
      <c r="H29" s="168">
        <f t="shared" si="10"/>
        <v>0</v>
      </c>
      <c r="I29" s="168">
        <f t="shared" si="10"/>
        <v>0</v>
      </c>
      <c r="J29" s="168">
        <f t="shared" si="10"/>
        <v>0</v>
      </c>
      <c r="K29" s="168">
        <f t="shared" si="10"/>
        <v>0</v>
      </c>
      <c r="L29" s="168">
        <f t="shared" si="10"/>
        <v>0</v>
      </c>
      <c r="M29" s="168">
        <f t="shared" si="10"/>
        <v>0</v>
      </c>
      <c r="N29" s="168">
        <f t="shared" si="10"/>
        <v>0</v>
      </c>
      <c r="O29" s="168">
        <f t="shared" si="10"/>
        <v>0</v>
      </c>
      <c r="P29" s="168">
        <f t="shared" si="10"/>
        <v>0</v>
      </c>
      <c r="R29" s="173"/>
    </row>
    <row r="30" ht="35" customHeight="1" spans="1:18">
      <c r="A30" s="170" t="s">
        <v>30</v>
      </c>
      <c r="B30" s="170"/>
      <c r="C30" s="168"/>
      <c r="D30" s="168">
        <f>SUM(D21:D29)</f>
        <v>58.9</v>
      </c>
      <c r="E30" s="168">
        <f t="shared" ref="E30:P30" si="11">SUM(E21:E29)</f>
        <v>58.1</v>
      </c>
      <c r="F30" s="168">
        <f t="shared" si="11"/>
        <v>59.2</v>
      </c>
      <c r="G30" s="168">
        <f t="shared" si="11"/>
        <v>53.2</v>
      </c>
      <c r="H30" s="168">
        <f t="shared" si="11"/>
        <v>54.9</v>
      </c>
      <c r="I30" s="168">
        <f t="shared" si="11"/>
        <v>57.4</v>
      </c>
      <c r="J30" s="168">
        <f t="shared" si="11"/>
        <v>58.1</v>
      </c>
      <c r="K30" s="168">
        <f t="shared" si="11"/>
        <v>57.9</v>
      </c>
      <c r="L30" s="168">
        <f t="shared" si="11"/>
        <v>59.1</v>
      </c>
      <c r="M30" s="168">
        <f t="shared" si="11"/>
        <v>54</v>
      </c>
      <c r="N30" s="168">
        <f t="shared" si="11"/>
        <v>56.2</v>
      </c>
      <c r="O30" s="168">
        <f t="shared" si="11"/>
        <v>51.9</v>
      </c>
      <c r="P30" s="168">
        <f t="shared" si="11"/>
        <v>60.2</v>
      </c>
      <c r="R30" s="173"/>
    </row>
    <row r="31" ht="35" customHeight="1" spans="1:18">
      <c r="A31" s="170" t="s">
        <v>31</v>
      </c>
      <c r="B31" s="170"/>
      <c r="C31" s="13"/>
      <c r="D31" s="13">
        <f>RANK(D30,$D$30:$P$30)</f>
        <v>4</v>
      </c>
      <c r="E31" s="13">
        <f t="shared" ref="E31:P31" si="12">RANK(E30,$D$30:$P$30)</f>
        <v>5</v>
      </c>
      <c r="F31" s="13">
        <f t="shared" si="12"/>
        <v>2</v>
      </c>
      <c r="G31" s="13">
        <f t="shared" si="12"/>
        <v>12</v>
      </c>
      <c r="H31" s="13">
        <f t="shared" si="12"/>
        <v>10</v>
      </c>
      <c r="I31" s="13">
        <f t="shared" si="12"/>
        <v>8</v>
      </c>
      <c r="J31" s="13">
        <f t="shared" si="12"/>
        <v>5</v>
      </c>
      <c r="K31" s="13">
        <f t="shared" si="12"/>
        <v>7</v>
      </c>
      <c r="L31" s="13">
        <f t="shared" si="12"/>
        <v>3</v>
      </c>
      <c r="M31" s="13">
        <f t="shared" si="12"/>
        <v>11</v>
      </c>
      <c r="N31" s="13">
        <f t="shared" si="12"/>
        <v>9</v>
      </c>
      <c r="O31" s="13">
        <f t="shared" si="12"/>
        <v>13</v>
      </c>
      <c r="P31" s="13">
        <f t="shared" si="12"/>
        <v>1</v>
      </c>
    </row>
    <row r="33" s="160" customFormat="1" ht="35" customHeight="1" spans="1:16">
      <c r="A33" s="174" t="s">
        <v>35</v>
      </c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</row>
    <row r="36" spans="1:16">
      <c r="P36" s="160"/>
    </row>
    <row r="37" spans="1:16">
      <c r="P37" s="160"/>
    </row>
  </sheetData>
  <mergeCells count="17">
    <mergeCell ref="A3:B3"/>
    <mergeCell ref="A13:B13"/>
    <mergeCell ref="A14:B14"/>
    <mergeCell ref="A15:B15"/>
    <mergeCell ref="A19:O19"/>
    <mergeCell ref="A20:B20"/>
    <mergeCell ref="A29:B29"/>
    <mergeCell ref="A30:B30"/>
    <mergeCell ref="A31:B31"/>
    <mergeCell ref="A33:P33"/>
    <mergeCell ref="A4:A6"/>
    <mergeCell ref="A7:A8"/>
    <mergeCell ref="A9:A10"/>
    <mergeCell ref="A11:A12"/>
    <mergeCell ref="A21:A23"/>
    <mergeCell ref="A24:A25"/>
    <mergeCell ref="A26:A27"/>
  </mergeCells>
  <pageMargins left="0.393055555555556" right="0.354166666666667" top="0.629861111111111" bottom="0.354166666666667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J30"/>
  <sheetViews>
    <sheetView tabSelected="1" zoomScale="80" zoomScaleNormal="80" workbookViewId="0">
      <selection activeCell="C9" sqref="C9:C10"/>
    </sheetView>
  </sheetViews>
  <sheetFormatPr defaultColWidth="9" defaultRowHeight="15"/>
  <cols>
    <col min="1" max="1" width="9" style="147"/>
    <col min="2" max="2" width="14.0333333333333" style="147" customWidth="1"/>
    <col min="3" max="3" width="16.775" style="147" customWidth="1"/>
    <col min="4" max="4" width="13.225" style="147" customWidth="1"/>
    <col min="5" max="5" width="31.6" style="151" customWidth="1"/>
    <col min="6" max="6" width="94.4333333333333" style="147" customWidth="1"/>
    <col min="7" max="7" width="34.4583333333333" style="147" customWidth="1"/>
    <col min="8" max="8" width="9" style="147"/>
    <col min="9" max="9" width="9.625" style="147"/>
    <col min="10" max="16384" width="9" style="147"/>
  </cols>
  <sheetData>
    <row r="1" s="147" customFormat="1" spans="1:10">
      <c r="A1" s="147" t="s">
        <v>36</v>
      </c>
      <c r="E1" s="151"/>
    </row>
    <row r="2" s="148" customFormat="1" ht="29" customHeight="1" spans="1:10">
      <c r="A2" s="152" t="s">
        <v>37</v>
      </c>
      <c r="B2" s="152"/>
      <c r="C2" s="152"/>
      <c r="D2" s="152"/>
      <c r="E2" s="152"/>
      <c r="F2" s="152"/>
      <c r="G2" s="152"/>
    </row>
    <row r="3" s="149" customFormat="1" ht="39" customHeight="1" spans="1:10">
      <c r="A3" s="153" t="s">
        <v>38</v>
      </c>
      <c r="B3" s="154" t="s">
        <v>39</v>
      </c>
      <c r="C3" s="153" t="s">
        <v>40</v>
      </c>
      <c r="D3" s="154" t="s">
        <v>1</v>
      </c>
      <c r="E3" s="154" t="s">
        <v>41</v>
      </c>
      <c r="F3" s="154" t="s">
        <v>42</v>
      </c>
      <c r="G3" s="154" t="s">
        <v>43</v>
      </c>
    </row>
    <row r="4" s="149" customFormat="1" ht="90" customHeight="1" spans="1:10">
      <c r="A4" s="155">
        <v>1</v>
      </c>
      <c r="B4" s="155" t="s">
        <v>44</v>
      </c>
      <c r="C4" s="155" t="s">
        <v>45</v>
      </c>
      <c r="D4" s="156">
        <v>0.15</v>
      </c>
      <c r="E4" s="157" t="s">
        <v>46</v>
      </c>
      <c r="F4" s="158" t="s">
        <v>47</v>
      </c>
      <c r="G4" s="159" t="s">
        <v>48</v>
      </c>
    </row>
    <row r="5" s="149" customFormat="1" ht="90" customHeight="1" spans="1:10">
      <c r="A5" s="155">
        <v>2</v>
      </c>
      <c r="B5" s="155"/>
      <c r="C5" s="155" t="s">
        <v>49</v>
      </c>
      <c r="D5" s="156">
        <v>0.1</v>
      </c>
      <c r="E5" s="157" t="s">
        <v>50</v>
      </c>
      <c r="F5" s="158" t="s">
        <v>51</v>
      </c>
      <c r="G5" s="158" t="s">
        <v>52</v>
      </c>
    </row>
    <row r="6" s="149" customFormat="1" ht="90" customHeight="1" spans="1:10">
      <c r="A6" s="155">
        <v>3</v>
      </c>
      <c r="B6" s="155"/>
      <c r="C6" s="155" t="s">
        <v>53</v>
      </c>
      <c r="D6" s="156">
        <v>0.1</v>
      </c>
      <c r="E6" s="157" t="s">
        <v>54</v>
      </c>
      <c r="F6" s="158" t="s">
        <v>55</v>
      </c>
      <c r="G6" s="158" t="s">
        <v>56</v>
      </c>
    </row>
    <row r="7" s="149" customFormat="1" ht="101" customHeight="1" spans="1:10">
      <c r="A7" s="155">
        <v>4</v>
      </c>
      <c r="B7" s="155" t="s">
        <v>57</v>
      </c>
      <c r="C7" s="155" t="s">
        <v>58</v>
      </c>
      <c r="D7" s="156">
        <v>0.25</v>
      </c>
      <c r="E7" s="157" t="s">
        <v>59</v>
      </c>
      <c r="F7" s="158" t="s">
        <v>60</v>
      </c>
      <c r="G7" s="158" t="s">
        <v>61</v>
      </c>
    </row>
    <row r="8" s="149" customFormat="1" ht="91" customHeight="1" spans="1:10">
      <c r="A8" s="155">
        <v>5</v>
      </c>
      <c r="B8" s="155"/>
      <c r="C8" s="155" t="s">
        <v>62</v>
      </c>
      <c r="D8" s="156">
        <v>0.1</v>
      </c>
      <c r="E8" s="157" t="s">
        <v>63</v>
      </c>
      <c r="F8" s="158" t="s">
        <v>64</v>
      </c>
      <c r="G8" s="158" t="s">
        <v>65</v>
      </c>
    </row>
    <row r="9" s="149" customFormat="1" ht="90" customHeight="1" spans="1:10">
      <c r="A9" s="155">
        <v>6</v>
      </c>
      <c r="B9" s="155" t="s">
        <v>22</v>
      </c>
      <c r="C9" s="155" t="s">
        <v>66</v>
      </c>
      <c r="D9" s="156">
        <v>0.1</v>
      </c>
      <c r="E9" s="157" t="s">
        <v>67</v>
      </c>
      <c r="F9" s="158" t="s">
        <v>68</v>
      </c>
      <c r="G9" s="158" t="s">
        <v>69</v>
      </c>
    </row>
    <row r="10" s="150" customFormat="1" ht="111" customHeight="1" spans="1:10">
      <c r="A10" s="155">
        <v>7</v>
      </c>
      <c r="B10" s="155"/>
      <c r="C10" s="155" t="s">
        <v>70</v>
      </c>
      <c r="D10" s="156">
        <v>0.1</v>
      </c>
      <c r="E10" s="157" t="s">
        <v>71</v>
      </c>
      <c r="F10" s="158" t="s">
        <v>72</v>
      </c>
      <c r="G10" s="158" t="s">
        <v>73</v>
      </c>
      <c r="J10" s="149"/>
    </row>
    <row r="11" s="149" customFormat="1" ht="90" customHeight="1" spans="1:10">
      <c r="A11" s="155">
        <v>8</v>
      </c>
      <c r="B11" s="155" t="s">
        <v>74</v>
      </c>
      <c r="C11" s="155" t="s">
        <v>75</v>
      </c>
      <c r="D11" s="156">
        <v>0.1</v>
      </c>
      <c r="E11" s="157" t="s">
        <v>76</v>
      </c>
      <c r="F11" s="158" t="s">
        <v>77</v>
      </c>
      <c r="G11" s="158" t="s">
        <v>73</v>
      </c>
    </row>
    <row r="12" s="147" customFormat="1" customHeight="1"/>
    <row r="13" s="147" customFormat="1" customHeight="1"/>
    <row r="14" s="147" customFormat="1" customHeight="1"/>
    <row r="15" s="147" customFormat="1" customHeight="1"/>
    <row r="16" s="147" customFormat="1" customHeight="1" spans="1:10">
      <c r="E16" s="151"/>
    </row>
    <row r="17" s="147" customFormat="1" customHeight="1" spans="5:5">
      <c r="E17" s="151"/>
    </row>
    <row r="18" s="147" customFormat="1" customHeight="1" spans="5:5">
      <c r="E18" s="151"/>
    </row>
    <row r="19" s="147" customFormat="1" customHeight="1" spans="5:5">
      <c r="E19" s="151"/>
    </row>
    <row r="20" s="147" customFormat="1" customHeight="1" spans="5:5">
      <c r="E20" s="151"/>
    </row>
    <row r="21" s="147" customFormat="1" customHeight="1" spans="5:5">
      <c r="E21" s="151"/>
    </row>
    <row r="22" s="147" customFormat="1" customHeight="1" spans="5:5">
      <c r="E22" s="151"/>
    </row>
    <row r="23" s="147" customFormat="1" customHeight="1" spans="5:5">
      <c r="E23" s="151"/>
    </row>
    <row r="24" s="147" customFormat="1" customHeight="1" spans="5:5">
      <c r="E24" s="151"/>
    </row>
    <row r="25" s="147" customFormat="1" customHeight="1" spans="5:5">
      <c r="E25" s="151"/>
    </row>
    <row r="26" s="147" customFormat="1" customHeight="1" spans="5:5">
      <c r="E26" s="151"/>
    </row>
    <row r="27" s="147" customFormat="1" customHeight="1" spans="5:5">
      <c r="E27" s="151"/>
    </row>
    <row r="28" s="147" customFormat="1" customHeight="1" spans="5:5">
      <c r="E28" s="151"/>
    </row>
    <row r="29" s="147" customFormat="1" spans="5:5">
      <c r="E29" s="151"/>
    </row>
    <row r="30" s="147" customFormat="1" spans="5:5">
      <c r="E30" s="151"/>
    </row>
  </sheetData>
  <mergeCells count="4">
    <mergeCell ref="A2:G2"/>
    <mergeCell ref="B4:B6"/>
    <mergeCell ref="B7:B8"/>
    <mergeCell ref="B9:B1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V53"/>
  <sheetViews>
    <sheetView zoomScale="80" zoomScaleNormal="80" topLeftCell="A16" workbookViewId="0">
      <selection activeCell="D57" sqref="D57"/>
    </sheetView>
  </sheetViews>
  <sheetFormatPr defaultColWidth="9" defaultRowHeight="16.5"/>
  <cols>
    <col min="1" max="8" width="13.3833333333333" style="101" customWidth="1"/>
    <col min="9" max="9" width="13.75" style="9" customWidth="1"/>
    <col min="10" max="10" width="14.75" style="9" customWidth="1"/>
    <col min="11" max="11" width="11.5" style="9" customWidth="1"/>
    <col min="12" max="12" width="15.3833333333333" style="9" customWidth="1"/>
    <col min="13" max="13" width="14.75" style="9" customWidth="1"/>
    <col min="14" max="14" width="17.9333333333333" style="9" customWidth="1"/>
    <col min="15" max="15" width="12.8" style="9" customWidth="1"/>
    <col min="16" max="16" width="15" style="9" customWidth="1"/>
    <col min="17" max="17" width="15.9333333333333" style="9" customWidth="1"/>
    <col min="18" max="18" width="11.7083333333333" style="9" customWidth="1"/>
    <col min="19" max="19" width="13.75" style="9"/>
    <col min="20" max="23" width="9" style="9"/>
    <col min="24" max="24" width="11.7666666666667" style="9" customWidth="1"/>
    <col min="25" max="27" width="9" style="9"/>
    <col min="28" max="28" width="10.875" style="9" customWidth="1"/>
    <col min="29" max="32" width="9" style="9"/>
    <col min="33" max="33" width="11.4666666666667" style="9" customWidth="1"/>
    <col min="34" max="36" width="9" style="9"/>
    <col min="37" max="37" width="13.0833333333333" style="9" customWidth="1"/>
    <col min="38" max="38" width="9" style="9"/>
    <col min="39" max="39" width="10.75" style="9"/>
    <col min="40" max="44" width="9" style="9"/>
    <col min="45" max="45" width="12.625" style="9"/>
    <col min="46" max="16384" width="9" style="9"/>
  </cols>
  <sheetData>
    <row r="1" spans="1:22">
      <c r="A1" s="114"/>
      <c r="B1" s="114"/>
      <c r="C1" s="114"/>
      <c r="D1" s="114"/>
      <c r="E1" s="114"/>
      <c r="F1" s="114"/>
      <c r="G1" s="114"/>
      <c r="H1" s="114"/>
    </row>
    <row r="2" spans="1:22">
      <c r="A2" s="140" t="s">
        <v>78</v>
      </c>
      <c r="B2" s="140"/>
      <c r="C2" s="140"/>
      <c r="D2" s="9"/>
      <c r="E2" s="9"/>
      <c r="F2" s="9"/>
      <c r="G2" s="9"/>
      <c r="H2" s="114"/>
    </row>
    <row r="3" spans="1:22">
      <c r="A3" s="58" t="s">
        <v>79</v>
      </c>
      <c r="B3" s="58">
        <v>45778</v>
      </c>
      <c r="C3" s="58">
        <v>46143</v>
      </c>
      <c r="D3" s="9"/>
      <c r="E3" s="58" t="s">
        <v>79</v>
      </c>
      <c r="F3" s="58" t="s">
        <v>80</v>
      </c>
      <c r="G3" s="58" t="s">
        <v>81</v>
      </c>
      <c r="H3" s="114"/>
      <c r="I3" s="13" t="s">
        <v>79</v>
      </c>
      <c r="J3" s="13" t="s">
        <v>82</v>
      </c>
      <c r="L3" s="141" t="s">
        <v>83</v>
      </c>
      <c r="P3" s="142"/>
      <c r="Q3" s="142"/>
      <c r="R3" s="142"/>
      <c r="S3" s="142"/>
      <c r="T3" s="142"/>
      <c r="U3" s="142"/>
      <c r="V3" s="142"/>
    </row>
    <row r="4" spans="1:22">
      <c r="A4" s="61" t="s">
        <v>13</v>
      </c>
      <c r="B4" s="143">
        <v>0.486043823926666</v>
      </c>
      <c r="C4" s="143">
        <v>0.536577123790106</v>
      </c>
      <c r="D4" s="39">
        <f>C4-B4</f>
        <v>0.05053329986344</v>
      </c>
      <c r="E4" s="61" t="str">
        <f>A4</f>
        <v>版纳</v>
      </c>
      <c r="F4" s="67">
        <f>ROUND(IF(C4=J4,100,IF(AND(C4&gt;J4),100+(C4-J4)/1%*3,IF(C4&lt;J4,100+(C4-J4)/1%*2,100-(J4-C4)/1%*2))),1)</f>
        <v>37.2</v>
      </c>
      <c r="G4" s="63">
        <f>F4*0.15</f>
        <v>5.58</v>
      </c>
      <c r="H4" s="122"/>
      <c r="I4" s="123" t="s">
        <v>13</v>
      </c>
      <c r="J4" s="38">
        <v>0.850539110594402</v>
      </c>
      <c r="K4" s="39">
        <f>C4-J4</f>
        <v>-0.313961986804296</v>
      </c>
      <c r="L4" s="144">
        <f>ROUND(100-(J4-C4)/1%*2,1)</f>
        <v>37.2</v>
      </c>
      <c r="M4" s="9">
        <f>F4-L4</f>
        <v>0</v>
      </c>
      <c r="N4" s="9" t="s">
        <v>84</v>
      </c>
      <c r="S4" s="142"/>
      <c r="T4" s="142"/>
      <c r="U4" s="142"/>
      <c r="V4" s="142"/>
    </row>
    <row r="5" spans="1:22">
      <c r="A5" s="61" t="s">
        <v>8</v>
      </c>
      <c r="B5" s="143">
        <v>0.742575553675964</v>
      </c>
      <c r="C5" s="143">
        <v>0.736670931238872</v>
      </c>
      <c r="D5" s="39">
        <f t="shared" ref="D5:D17" si="0">C5-B5</f>
        <v>-0.005904622437092</v>
      </c>
      <c r="E5" s="61" t="str">
        <f>A5</f>
        <v>北城</v>
      </c>
      <c r="F5" s="67">
        <f t="shared" ref="F5:F16" si="1">ROUND(IF(C5=J5,100,IF(AND(C5&gt;J5),100+(C5-J5)/1%*3,IF(C5&lt;J5,100+(C5-J5)/1%*2,100-(J5-C5)/1%*2))),1)</f>
        <v>74.8</v>
      </c>
      <c r="G5" s="63">
        <f t="shared" ref="G5:G16" si="2">F5*0.15</f>
        <v>11.22</v>
      </c>
      <c r="H5" s="122"/>
      <c r="I5" s="123" t="s">
        <v>8</v>
      </c>
      <c r="J5" s="38">
        <v>0.862748593367712</v>
      </c>
      <c r="K5" s="39">
        <f>C5-J5</f>
        <v>-0.12607766212884</v>
      </c>
      <c r="L5" s="144">
        <f t="shared" ref="L5:L16" si="3">ROUND(100-(J5-C5)/1%*2,1)</f>
        <v>74.8</v>
      </c>
      <c r="M5" s="9">
        <f>F5-L5</f>
        <v>0</v>
      </c>
      <c r="S5" s="142"/>
      <c r="T5" s="142"/>
      <c r="U5" s="142"/>
      <c r="V5" s="142"/>
    </row>
    <row r="6" spans="1:22">
      <c r="A6" s="61" t="s">
        <v>2</v>
      </c>
      <c r="B6" s="143">
        <v>0.782366804889584</v>
      </c>
      <c r="C6" s="143">
        <v>0.753351162185275</v>
      </c>
      <c r="D6" s="39">
        <f t="shared" si="0"/>
        <v>-0.029015642704309</v>
      </c>
      <c r="E6" s="61" t="str">
        <f>A6</f>
        <v>北京</v>
      </c>
      <c r="F6" s="67">
        <f t="shared" si="1"/>
        <v>67.2</v>
      </c>
      <c r="G6" s="63">
        <f t="shared" si="2"/>
        <v>10.08</v>
      </c>
      <c r="H6" s="122"/>
      <c r="I6" s="123" t="s">
        <v>2</v>
      </c>
      <c r="J6" s="38">
        <v>0.917489469864654</v>
      </c>
      <c r="K6" s="39">
        <f>C6-J6</f>
        <v>-0.164138307679379</v>
      </c>
      <c r="L6" s="144">
        <f t="shared" si="3"/>
        <v>67.2</v>
      </c>
      <c r="M6" s="9">
        <f>F6-L6</f>
        <v>0</v>
      </c>
      <c r="P6" s="142"/>
      <c r="Q6" s="142"/>
      <c r="R6" s="142"/>
    </row>
    <row r="7" spans="1:22">
      <c r="A7" s="61" t="s">
        <v>5</v>
      </c>
      <c r="B7" s="143">
        <v>0.771067812464459</v>
      </c>
      <c r="C7" s="143">
        <v>0.734688700960601</v>
      </c>
      <c r="D7" s="39">
        <f t="shared" si="0"/>
        <v>-0.036379111503858</v>
      </c>
      <c r="E7" s="61" t="str">
        <f>A7</f>
        <v>滨湖</v>
      </c>
      <c r="F7" s="67">
        <f t="shared" si="1"/>
        <v>63.9</v>
      </c>
      <c r="G7" s="63">
        <f t="shared" si="2"/>
        <v>9.585</v>
      </c>
      <c r="H7" s="122"/>
      <c r="I7" s="123" t="s">
        <v>5</v>
      </c>
      <c r="J7" s="38">
        <v>0.915020253358942</v>
      </c>
      <c r="K7" s="39">
        <f>C7-J7</f>
        <v>-0.180331552398341</v>
      </c>
      <c r="L7" s="144">
        <f t="shared" si="3"/>
        <v>63.9</v>
      </c>
      <c r="M7" s="9">
        <f>F7-L7</f>
        <v>0</v>
      </c>
    </row>
    <row r="8" spans="1:22">
      <c r="A8" s="61" t="s">
        <v>14</v>
      </c>
      <c r="B8" s="143">
        <v>0.716873043220426</v>
      </c>
      <c r="C8" s="143">
        <v>0.710144058821582</v>
      </c>
      <c r="D8" s="39">
        <f t="shared" si="0"/>
        <v>-0.00672898439884395</v>
      </c>
      <c r="E8" s="61" t="s">
        <v>14</v>
      </c>
      <c r="F8" s="67">
        <f t="shared" si="1"/>
        <v>75.8</v>
      </c>
      <c r="G8" s="63">
        <f t="shared" si="2"/>
        <v>11.37</v>
      </c>
      <c r="H8" s="122"/>
      <c r="I8" s="123" t="s">
        <v>14</v>
      </c>
      <c r="J8" s="38">
        <v>0.831101994659572</v>
      </c>
      <c r="K8" s="39">
        <f>C8-J8</f>
        <v>-0.12095793583799</v>
      </c>
      <c r="L8" s="144">
        <f t="shared" si="3"/>
        <v>75.8</v>
      </c>
      <c r="M8" s="9">
        <f>F8-L8</f>
        <v>0</v>
      </c>
    </row>
    <row r="9" spans="1:22">
      <c r="A9" s="61" t="s">
        <v>3</v>
      </c>
      <c r="B9" s="143">
        <v>0.718315593496198</v>
      </c>
      <c r="C9" s="143">
        <v>0.715759065720514</v>
      </c>
      <c r="D9" s="39">
        <f t="shared" si="0"/>
        <v>-0.00255652777568405</v>
      </c>
      <c r="E9" s="61" t="str">
        <f t="shared" ref="E9:E16" si="4">A9</f>
        <v>贵阳</v>
      </c>
      <c r="F9" s="67">
        <f t="shared" si="1"/>
        <v>64.5</v>
      </c>
      <c r="G9" s="63">
        <f t="shared" si="2"/>
        <v>9.675</v>
      </c>
      <c r="H9" s="122"/>
      <c r="I9" s="123" t="s">
        <v>3</v>
      </c>
      <c r="J9" s="38">
        <v>0.893238523358027</v>
      </c>
      <c r="K9" s="39">
        <f t="shared" ref="K9:K16" si="5">C9-J9</f>
        <v>-0.177479457637513</v>
      </c>
      <c r="L9" s="144">
        <f t="shared" si="3"/>
        <v>64.5</v>
      </c>
      <c r="M9" s="9">
        <f t="shared" ref="M9:M16" si="6">F9-L9</f>
        <v>0</v>
      </c>
    </row>
    <row r="10" spans="1:22">
      <c r="A10" s="61" t="s">
        <v>4</v>
      </c>
      <c r="B10" s="143">
        <v>0.797527466539232</v>
      </c>
      <c r="C10" s="143">
        <v>0.815810771846269</v>
      </c>
      <c r="D10" s="39">
        <f t="shared" si="0"/>
        <v>0.018283305307037</v>
      </c>
      <c r="E10" s="61" t="str">
        <f t="shared" si="4"/>
        <v>昆明</v>
      </c>
      <c r="F10" s="67">
        <f t="shared" si="1"/>
        <v>74.9</v>
      </c>
      <c r="G10" s="63">
        <f t="shared" si="2"/>
        <v>11.235</v>
      </c>
      <c r="H10" s="122"/>
      <c r="I10" s="123" t="s">
        <v>4</v>
      </c>
      <c r="J10" s="38">
        <v>0.941306644628891</v>
      </c>
      <c r="K10" s="39">
        <f t="shared" si="5"/>
        <v>-0.125495872782622</v>
      </c>
      <c r="L10" s="144">
        <f t="shared" si="3"/>
        <v>74.9</v>
      </c>
      <c r="M10" s="9">
        <f t="shared" si="6"/>
        <v>0</v>
      </c>
    </row>
    <row r="11" spans="1:22">
      <c r="A11" s="61" t="s">
        <v>10</v>
      </c>
      <c r="B11" s="143">
        <v>0.640321246758669</v>
      </c>
      <c r="C11" s="143">
        <v>0.645612174488762</v>
      </c>
      <c r="D11" s="39">
        <f t="shared" si="0"/>
        <v>0.00529092773009299</v>
      </c>
      <c r="E11" s="61" t="str">
        <f t="shared" si="4"/>
        <v>连江</v>
      </c>
      <c r="F11" s="67">
        <f t="shared" si="1"/>
        <v>65.1</v>
      </c>
      <c r="G11" s="63">
        <f t="shared" si="2"/>
        <v>9.765</v>
      </c>
      <c r="H11" s="122"/>
      <c r="I11" s="123" t="s">
        <v>10</v>
      </c>
      <c r="J11" s="38">
        <v>0.820244136274446</v>
      </c>
      <c r="K11" s="39">
        <f t="shared" si="5"/>
        <v>-0.174631961785684</v>
      </c>
      <c r="L11" s="144">
        <f t="shared" si="3"/>
        <v>65.1</v>
      </c>
      <c r="M11" s="9">
        <f t="shared" si="6"/>
        <v>0</v>
      </c>
    </row>
    <row r="12" spans="1:22">
      <c r="A12" s="61" t="s">
        <v>9</v>
      </c>
      <c r="B12" s="143">
        <v>0.702662248678882</v>
      </c>
      <c r="C12" s="143">
        <v>0.740002093509441</v>
      </c>
      <c r="D12" s="39">
        <f t="shared" si="0"/>
        <v>0.037339844830559</v>
      </c>
      <c r="E12" s="61" t="str">
        <f t="shared" si="4"/>
        <v>罗源</v>
      </c>
      <c r="F12" s="67">
        <f t="shared" si="1"/>
        <v>78.1</v>
      </c>
      <c r="G12" s="63">
        <f t="shared" si="2"/>
        <v>11.715</v>
      </c>
      <c r="H12" s="122"/>
      <c r="I12" s="123" t="s">
        <v>9</v>
      </c>
      <c r="J12" s="38">
        <v>0.849254251398909</v>
      </c>
      <c r="K12" s="39">
        <f t="shared" si="5"/>
        <v>-0.109252157889468</v>
      </c>
      <c r="L12" s="144">
        <f t="shared" si="3"/>
        <v>78.1</v>
      </c>
      <c r="M12" s="9">
        <f t="shared" si="6"/>
        <v>0</v>
      </c>
    </row>
    <row r="13" spans="1:22">
      <c r="A13" s="61" t="s">
        <v>7</v>
      </c>
      <c r="B13" s="143">
        <v>0.730056131483218</v>
      </c>
      <c r="C13" s="143">
        <v>0.71301318337196</v>
      </c>
      <c r="D13" s="39">
        <f t="shared" si="0"/>
        <v>-0.0170429481112581</v>
      </c>
      <c r="E13" s="61" t="str">
        <f t="shared" si="4"/>
        <v>闽江</v>
      </c>
      <c r="F13" s="67">
        <f t="shared" si="1"/>
        <v>57.4</v>
      </c>
      <c r="G13" s="63">
        <f t="shared" si="2"/>
        <v>8.61</v>
      </c>
      <c r="H13" s="122"/>
      <c r="I13" s="123" t="s">
        <v>7</v>
      </c>
      <c r="J13" s="38">
        <v>0.926076140743036</v>
      </c>
      <c r="K13" s="39">
        <f t="shared" si="5"/>
        <v>-0.213062957371076</v>
      </c>
      <c r="L13" s="144">
        <f t="shared" si="3"/>
        <v>57.4</v>
      </c>
      <c r="M13" s="9">
        <f t="shared" si="6"/>
        <v>0</v>
      </c>
    </row>
    <row r="14" spans="1:22">
      <c r="A14" s="61" t="s">
        <v>11</v>
      </c>
      <c r="B14" s="143">
        <v>0.713097024853327</v>
      </c>
      <c r="C14" s="143">
        <v>0.668847091880484</v>
      </c>
      <c r="D14" s="39">
        <f t="shared" si="0"/>
        <v>-0.0442499329728431</v>
      </c>
      <c r="E14" s="61" t="str">
        <f t="shared" si="4"/>
        <v>宁波</v>
      </c>
      <c r="F14" s="67">
        <f t="shared" si="1"/>
        <v>55.8</v>
      </c>
      <c r="G14" s="63">
        <f t="shared" si="2"/>
        <v>8.37</v>
      </c>
      <c r="H14" s="122"/>
      <c r="I14" s="123" t="s">
        <v>11</v>
      </c>
      <c r="J14" s="38">
        <v>0.889969504539419</v>
      </c>
      <c r="K14" s="39">
        <f t="shared" si="5"/>
        <v>-0.221122412658935</v>
      </c>
      <c r="L14" s="144">
        <f t="shared" si="3"/>
        <v>55.8</v>
      </c>
      <c r="M14" s="9">
        <f t="shared" si="6"/>
        <v>0</v>
      </c>
    </row>
    <row r="15" spans="1:22">
      <c r="A15" s="61" t="s">
        <v>12</v>
      </c>
      <c r="B15" s="143">
        <v>0.758996562056273</v>
      </c>
      <c r="C15" s="143">
        <v>0.715491200377636</v>
      </c>
      <c r="D15" s="39">
        <f t="shared" si="0"/>
        <v>-0.0435053616786369</v>
      </c>
      <c r="E15" s="61" t="str">
        <f t="shared" si="4"/>
        <v>腾冲</v>
      </c>
      <c r="F15" s="67">
        <f t="shared" si="1"/>
        <v>53</v>
      </c>
      <c r="G15" s="63">
        <f t="shared" si="2"/>
        <v>7.95</v>
      </c>
      <c r="H15" s="122"/>
      <c r="I15" s="123" t="s">
        <v>12</v>
      </c>
      <c r="J15" s="38">
        <v>0.950705789078828</v>
      </c>
      <c r="K15" s="39">
        <f t="shared" si="5"/>
        <v>-0.235214588701192</v>
      </c>
      <c r="L15" s="144">
        <f t="shared" si="3"/>
        <v>53</v>
      </c>
      <c r="M15" s="9">
        <f t="shared" si="6"/>
        <v>0</v>
      </c>
    </row>
    <row r="16" spans="1:22">
      <c r="A16" s="61" t="s">
        <v>6</v>
      </c>
      <c r="B16" s="143">
        <v>0.642887449714188</v>
      </c>
      <c r="C16" s="143">
        <v>0.693655202377092</v>
      </c>
      <c r="D16" s="39">
        <f t="shared" si="0"/>
        <v>0.050767752662904</v>
      </c>
      <c r="E16" s="61" t="str">
        <f t="shared" si="4"/>
        <v>长沙</v>
      </c>
      <c r="F16" s="67">
        <f t="shared" si="1"/>
        <v>60</v>
      </c>
      <c r="G16" s="63">
        <f t="shared" si="2"/>
        <v>9</v>
      </c>
      <c r="H16" s="122"/>
      <c r="I16" s="123" t="s">
        <v>6</v>
      </c>
      <c r="J16" s="38">
        <v>0.893482741548921</v>
      </c>
      <c r="K16" s="39">
        <f t="shared" si="5"/>
        <v>-0.199827539171829</v>
      </c>
      <c r="L16" s="144">
        <f t="shared" si="3"/>
        <v>60</v>
      </c>
      <c r="M16" s="9">
        <f t="shared" si="6"/>
        <v>0</v>
      </c>
    </row>
    <row r="17" spans="1:18">
      <c r="A17" s="61" t="s">
        <v>85</v>
      </c>
      <c r="B17" s="143">
        <v>0.722287921429159</v>
      </c>
      <c r="C17" s="143">
        <v>0.718453963347955</v>
      </c>
      <c r="D17" s="39">
        <v>-0.00888365443898098</v>
      </c>
      <c r="E17" s="9"/>
      <c r="F17" s="9"/>
      <c r="G17" s="9"/>
      <c r="H17" s="114"/>
      <c r="I17" s="123" t="s">
        <v>86</v>
      </c>
      <c r="J17" s="38">
        <v>0.890410408731736</v>
      </c>
      <c r="P17" s="142"/>
      <c r="Q17" s="142"/>
      <c r="R17" s="142"/>
    </row>
    <row r="18" spans="1:18">
      <c r="A18" s="9"/>
      <c r="B18" s="9"/>
      <c r="C18" s="9"/>
      <c r="D18" s="9"/>
      <c r="E18" s="9"/>
      <c r="F18" s="9"/>
      <c r="G18" s="9"/>
      <c r="H18" s="114"/>
      <c r="J18" s="101"/>
      <c r="L18" s="144"/>
      <c r="M18" s="144"/>
      <c r="N18" s="144"/>
      <c r="O18" s="144"/>
    </row>
    <row r="19" spans="1:18">
      <c r="A19" s="140"/>
      <c r="B19" s="9"/>
      <c r="C19" s="9"/>
      <c r="D19" s="9"/>
      <c r="E19" s="9"/>
      <c r="F19" s="9"/>
      <c r="G19" s="9"/>
      <c r="H19" s="114"/>
      <c r="J19" s="101"/>
    </row>
    <row r="20" spans="1:18">
      <c r="A20" s="140"/>
      <c r="B20" s="9"/>
      <c r="C20" s="9"/>
      <c r="D20" s="9"/>
      <c r="E20" s="9"/>
      <c r="F20" s="9"/>
      <c r="G20" s="9"/>
      <c r="H20" s="114"/>
      <c r="J20" s="101"/>
    </row>
    <row r="21" spans="1:18">
      <c r="A21" s="140" t="s">
        <v>87</v>
      </c>
      <c r="B21" s="140"/>
      <c r="C21" s="140"/>
      <c r="D21" s="9"/>
      <c r="E21" s="9"/>
      <c r="F21" s="9"/>
      <c r="G21" s="9"/>
      <c r="H21" s="114"/>
      <c r="J21" s="101"/>
    </row>
    <row r="22" spans="1:18">
      <c r="A22" s="58" t="s">
        <v>79</v>
      </c>
      <c r="B22" s="58">
        <v>45778</v>
      </c>
      <c r="C22" s="58">
        <v>46143</v>
      </c>
      <c r="D22" s="9"/>
      <c r="E22" s="58" t="s">
        <v>79</v>
      </c>
      <c r="F22" s="58" t="s">
        <v>80</v>
      </c>
      <c r="G22" s="58" t="s">
        <v>81</v>
      </c>
      <c r="H22" s="114"/>
      <c r="I22" s="13" t="s">
        <v>79</v>
      </c>
      <c r="J22" s="13" t="s">
        <v>82</v>
      </c>
      <c r="L22" s="141" t="s">
        <v>83</v>
      </c>
    </row>
    <row r="23" spans="1:18">
      <c r="A23" s="61" t="s">
        <v>13</v>
      </c>
      <c r="B23" s="143">
        <v>0.163408340649155</v>
      </c>
      <c r="C23" s="143">
        <v>0.150922831361229</v>
      </c>
      <c r="D23" s="39">
        <f>C23-B23</f>
        <v>-0.0124855092879261</v>
      </c>
      <c r="E23" s="61" t="str">
        <f>A23</f>
        <v>版纳</v>
      </c>
      <c r="F23" s="67">
        <f>ROUND(IF(C23=J23,100,IF(AND(C23&gt;J23),100+(C23-J23)/1%*3,IF(C23&lt;J23,100+(C23-J23)/1%*2,100-(J23-C23)/1%*2))),1)</f>
        <v>54.2</v>
      </c>
      <c r="G23" s="63">
        <f>F23*0.1</f>
        <v>5.42</v>
      </c>
      <c r="H23" s="122"/>
      <c r="I23" s="123" t="s">
        <v>13</v>
      </c>
      <c r="J23" s="38">
        <v>0.379832922127361</v>
      </c>
      <c r="K23" s="39">
        <f>C23-J23</f>
        <v>-0.228910090766132</v>
      </c>
      <c r="L23" s="144">
        <f>ROUND(100-(J23-C23)/1%*2,1)</f>
        <v>54.2</v>
      </c>
      <c r="M23" s="9">
        <f>F23-L23</f>
        <v>0</v>
      </c>
    </row>
    <row r="24" spans="1:18">
      <c r="A24" s="61" t="s">
        <v>8</v>
      </c>
      <c r="B24" s="143">
        <v>0.20565771531282</v>
      </c>
      <c r="C24" s="143">
        <v>0.216890765549314</v>
      </c>
      <c r="D24" s="39">
        <f t="shared" ref="D24:D36" si="7">C24-B24</f>
        <v>0.0112330502364937</v>
      </c>
      <c r="E24" s="61" t="str">
        <f>A24</f>
        <v>北城</v>
      </c>
      <c r="F24" s="67">
        <f t="shared" ref="F24:F35" si="8">ROUND(IF(C24=J24,100,IF(AND(C24&gt;J24),100+(C24-J24)/1%*3,IF(C24&lt;J24,100+(C24-J24)/1%*2,100-(J24-C24)/1%*2))),1)</f>
        <v>47.9</v>
      </c>
      <c r="G24" s="63">
        <f t="shared" ref="G24:G35" si="9">F24*0.1</f>
        <v>4.79</v>
      </c>
      <c r="H24" s="122"/>
      <c r="I24" s="123" t="s">
        <v>8</v>
      </c>
      <c r="J24" s="38">
        <v>0.477576733856083</v>
      </c>
      <c r="K24" s="39">
        <f>C24-J24</f>
        <v>-0.260685968306769</v>
      </c>
      <c r="L24" s="144">
        <f t="shared" ref="L23:L35" si="10">ROUND(100-(J24-C24)/1%*2,1)</f>
        <v>47.9</v>
      </c>
      <c r="M24" s="9">
        <f>F24-L24</f>
        <v>0</v>
      </c>
    </row>
    <row r="25" spans="1:18">
      <c r="A25" s="61" t="s">
        <v>2</v>
      </c>
      <c r="B25" s="143">
        <v>0.14281270976204</v>
      </c>
      <c r="C25" s="143">
        <v>0.117193476533341</v>
      </c>
      <c r="D25" s="39">
        <f t="shared" si="7"/>
        <v>-0.0256192332286985</v>
      </c>
      <c r="E25" s="61" t="str">
        <f>A25</f>
        <v>北京</v>
      </c>
      <c r="F25" s="67">
        <f t="shared" si="8"/>
        <v>53.8</v>
      </c>
      <c r="G25" s="63">
        <f t="shared" si="9"/>
        <v>5.38</v>
      </c>
      <c r="H25" s="122"/>
      <c r="I25" s="123" t="s">
        <v>2</v>
      </c>
      <c r="J25" s="38">
        <v>0.348167981546423</v>
      </c>
      <c r="K25" s="39">
        <f>C25-J25</f>
        <v>-0.230974505013082</v>
      </c>
      <c r="L25" s="144">
        <f t="shared" si="10"/>
        <v>53.8</v>
      </c>
      <c r="M25" s="9">
        <f>F25-L25</f>
        <v>0</v>
      </c>
    </row>
    <row r="26" spans="1:18">
      <c r="A26" s="61" t="s">
        <v>5</v>
      </c>
      <c r="B26" s="143">
        <v>0.289320894026645</v>
      </c>
      <c r="C26" s="143">
        <v>0.27902227808846</v>
      </c>
      <c r="D26" s="39">
        <f t="shared" si="7"/>
        <v>-0.0102986159381844</v>
      </c>
      <c r="E26" s="61" t="str">
        <f>A26</f>
        <v>滨湖</v>
      </c>
      <c r="F26" s="67">
        <f t="shared" si="8"/>
        <v>34.9</v>
      </c>
      <c r="G26" s="63">
        <f t="shared" si="9"/>
        <v>3.49</v>
      </c>
      <c r="H26" s="122"/>
      <c r="I26" s="123" t="s">
        <v>5</v>
      </c>
      <c r="J26" s="38">
        <v>0.604698423600719</v>
      </c>
      <c r="K26" s="39">
        <f>C26-J26</f>
        <v>-0.325676145512259</v>
      </c>
      <c r="L26" s="144">
        <f t="shared" si="10"/>
        <v>34.9</v>
      </c>
      <c r="M26" s="9">
        <f>F26-L26</f>
        <v>0</v>
      </c>
    </row>
    <row r="27" spans="1:18">
      <c r="A27" s="61" t="s">
        <v>14</v>
      </c>
      <c r="B27" s="143">
        <v>0.379992940668591</v>
      </c>
      <c r="C27" s="143">
        <v>0.444311441401798</v>
      </c>
      <c r="D27" s="39">
        <f t="shared" si="7"/>
        <v>0.0643185007332078</v>
      </c>
      <c r="E27" s="61" t="s">
        <v>14</v>
      </c>
      <c r="F27" s="67">
        <f t="shared" si="8"/>
        <v>68.4</v>
      </c>
      <c r="G27" s="63">
        <f t="shared" si="9"/>
        <v>6.84</v>
      </c>
      <c r="H27" s="122"/>
      <c r="I27" s="123" t="s">
        <v>14</v>
      </c>
      <c r="J27" s="38">
        <v>0.602494892833462</v>
      </c>
      <c r="K27" s="39">
        <f>C27-J27</f>
        <v>-0.158183451431664</v>
      </c>
      <c r="L27" s="144">
        <f t="shared" si="10"/>
        <v>68.4</v>
      </c>
      <c r="M27" s="9">
        <f>F27-L27</f>
        <v>0</v>
      </c>
      <c r="N27" s="9" t="s">
        <v>88</v>
      </c>
    </row>
    <row r="28" spans="1:18">
      <c r="A28" s="61" t="s">
        <v>3</v>
      </c>
      <c r="B28" s="143">
        <v>0.14973325865286</v>
      </c>
      <c r="C28" s="143">
        <v>0.170357826160724</v>
      </c>
      <c r="D28" s="39">
        <f t="shared" si="7"/>
        <v>0.0206245675078649</v>
      </c>
      <c r="E28" s="61" t="str">
        <f t="shared" ref="E28:E35" si="11">A28</f>
        <v>贵阳</v>
      </c>
      <c r="F28" s="67">
        <f t="shared" si="8"/>
        <v>50.5</v>
      </c>
      <c r="G28" s="63">
        <f t="shared" si="9"/>
        <v>5.05</v>
      </c>
      <c r="H28" s="122"/>
      <c r="I28" s="123" t="s">
        <v>3</v>
      </c>
      <c r="J28" s="38">
        <v>0.417699317445144</v>
      </c>
      <c r="K28" s="39">
        <f t="shared" ref="K28:K35" si="12">C28-J28</f>
        <v>-0.24734149128442</v>
      </c>
      <c r="L28" s="144">
        <f t="shared" si="10"/>
        <v>50.5</v>
      </c>
      <c r="M28" s="9">
        <f t="shared" ref="M28:M35" si="13">F28-L28</f>
        <v>0</v>
      </c>
    </row>
    <row r="29" spans="1:18">
      <c r="A29" s="61" t="s">
        <v>4</v>
      </c>
      <c r="B29" s="143">
        <v>0.213409130454187</v>
      </c>
      <c r="C29" s="143">
        <v>0.168236560266454</v>
      </c>
      <c r="D29" s="39">
        <f t="shared" si="7"/>
        <v>-0.0451725701877333</v>
      </c>
      <c r="E29" s="61" t="str">
        <f t="shared" si="11"/>
        <v>昆明</v>
      </c>
      <c r="F29" s="67">
        <f t="shared" si="8"/>
        <v>62.9</v>
      </c>
      <c r="G29" s="63">
        <f t="shared" si="9"/>
        <v>6.29</v>
      </c>
      <c r="H29" s="122"/>
      <c r="I29" s="123" t="s">
        <v>4</v>
      </c>
      <c r="J29" s="38">
        <v>0.353641430552695</v>
      </c>
      <c r="K29" s="39">
        <f t="shared" si="12"/>
        <v>-0.185404870286241</v>
      </c>
      <c r="L29" s="144">
        <f t="shared" si="10"/>
        <v>62.9</v>
      </c>
      <c r="M29" s="9">
        <f t="shared" si="13"/>
        <v>0</v>
      </c>
    </row>
    <row r="30" spans="1:18">
      <c r="A30" s="61" t="s">
        <v>10</v>
      </c>
      <c r="B30" s="143">
        <v>0.264046493100595</v>
      </c>
      <c r="C30" s="143">
        <v>0.219552328976088</v>
      </c>
      <c r="D30" s="39">
        <f t="shared" si="7"/>
        <v>-0.0444941641245077</v>
      </c>
      <c r="E30" s="61" t="str">
        <f t="shared" si="11"/>
        <v>连江</v>
      </c>
      <c r="F30" s="67">
        <f t="shared" si="8"/>
        <v>55</v>
      </c>
      <c r="G30" s="63">
        <f t="shared" si="9"/>
        <v>5.5</v>
      </c>
      <c r="H30" s="122"/>
      <c r="I30" s="123" t="s">
        <v>10</v>
      </c>
      <c r="J30" s="38">
        <v>0.444312779510004</v>
      </c>
      <c r="K30" s="39">
        <f t="shared" si="12"/>
        <v>-0.224760450533916</v>
      </c>
      <c r="L30" s="144">
        <f t="shared" si="10"/>
        <v>55</v>
      </c>
      <c r="M30" s="9">
        <f t="shared" si="13"/>
        <v>0</v>
      </c>
    </row>
    <row r="31" spans="1:18">
      <c r="A31" s="61" t="s">
        <v>9</v>
      </c>
      <c r="B31" s="143">
        <v>0.514300319323133</v>
      </c>
      <c r="C31" s="143">
        <v>0.472443640138314</v>
      </c>
      <c r="D31" s="39">
        <f t="shared" si="7"/>
        <v>-0.0418566791848191</v>
      </c>
      <c r="E31" s="61" t="str">
        <f t="shared" si="11"/>
        <v>罗源</v>
      </c>
      <c r="F31" s="67">
        <f t="shared" si="8"/>
        <v>63.3</v>
      </c>
      <c r="G31" s="63">
        <f t="shared" si="9"/>
        <v>6.33</v>
      </c>
      <c r="H31" s="122"/>
      <c r="I31" s="123" t="s">
        <v>9</v>
      </c>
      <c r="J31" s="38">
        <v>0.655882167664199</v>
      </c>
      <c r="K31" s="39">
        <f t="shared" si="12"/>
        <v>-0.183438527525885</v>
      </c>
      <c r="L31" s="144">
        <f t="shared" si="10"/>
        <v>63.3</v>
      </c>
      <c r="M31" s="9">
        <f t="shared" si="13"/>
        <v>0</v>
      </c>
    </row>
    <row r="32" spans="1:18">
      <c r="A32" s="61" t="s">
        <v>7</v>
      </c>
      <c r="B32" s="143">
        <v>0.437391304347826</v>
      </c>
      <c r="C32" s="143">
        <v>0.400213562693815</v>
      </c>
      <c r="D32" s="39">
        <f t="shared" si="7"/>
        <v>-0.0371777416540107</v>
      </c>
      <c r="E32" s="61" t="str">
        <f t="shared" si="11"/>
        <v>闽江</v>
      </c>
      <c r="F32" s="67">
        <f t="shared" si="8"/>
        <v>52.2</v>
      </c>
      <c r="G32" s="63">
        <f t="shared" si="9"/>
        <v>5.22</v>
      </c>
      <c r="H32" s="122"/>
      <c r="I32" s="123" t="s">
        <v>7</v>
      </c>
      <c r="J32" s="38">
        <v>0.63897592300041</v>
      </c>
      <c r="K32" s="39">
        <f t="shared" si="12"/>
        <v>-0.238762360306595</v>
      </c>
      <c r="L32" s="144">
        <f t="shared" si="10"/>
        <v>52.2</v>
      </c>
      <c r="M32" s="9">
        <f t="shared" si="13"/>
        <v>0</v>
      </c>
    </row>
    <row r="33" spans="1:13">
      <c r="A33" s="61" t="s">
        <v>11</v>
      </c>
      <c r="B33" s="143">
        <v>0.240378669382707</v>
      </c>
      <c r="C33" s="143">
        <v>0.218611667222925</v>
      </c>
      <c r="D33" s="39">
        <f t="shared" si="7"/>
        <v>-0.0217670021597818</v>
      </c>
      <c r="E33" s="61" t="str">
        <f t="shared" si="11"/>
        <v>宁波</v>
      </c>
      <c r="F33" s="67">
        <f t="shared" si="8"/>
        <v>49</v>
      </c>
      <c r="G33" s="63">
        <f t="shared" si="9"/>
        <v>4.9</v>
      </c>
      <c r="H33" s="122"/>
      <c r="I33" s="123" t="s">
        <v>11</v>
      </c>
      <c r="J33" s="38">
        <v>0.473679452817249</v>
      </c>
      <c r="K33" s="39">
        <f t="shared" si="12"/>
        <v>-0.255067785594324</v>
      </c>
      <c r="L33" s="144">
        <f t="shared" si="10"/>
        <v>49</v>
      </c>
      <c r="M33" s="9">
        <f t="shared" si="13"/>
        <v>0</v>
      </c>
    </row>
    <row r="34" spans="1:13">
      <c r="A34" s="61" t="s">
        <v>12</v>
      </c>
      <c r="B34" s="143">
        <v>0.13449112516394</v>
      </c>
      <c r="C34" s="143">
        <v>0.181107364270094</v>
      </c>
      <c r="D34" s="39">
        <f t="shared" si="7"/>
        <v>0.046616239106154</v>
      </c>
      <c r="E34" s="61" t="str">
        <f t="shared" si="11"/>
        <v>腾冲</v>
      </c>
      <c r="F34" s="67">
        <f t="shared" si="8"/>
        <v>67.6</v>
      </c>
      <c r="G34" s="63">
        <f t="shared" si="9"/>
        <v>6.76</v>
      </c>
      <c r="H34" s="122"/>
      <c r="I34" s="123" t="s">
        <v>12</v>
      </c>
      <c r="J34" s="38">
        <v>0.342911795417817</v>
      </c>
      <c r="K34" s="39">
        <f t="shared" si="12"/>
        <v>-0.161804431147723</v>
      </c>
      <c r="L34" s="144">
        <f t="shared" si="10"/>
        <v>67.6</v>
      </c>
      <c r="M34" s="9">
        <f t="shared" si="13"/>
        <v>0</v>
      </c>
    </row>
    <row r="35" spans="1:13">
      <c r="A35" s="61" t="s">
        <v>6</v>
      </c>
      <c r="B35" s="143">
        <v>0.117077664764428</v>
      </c>
      <c r="C35" s="143">
        <v>0.0877640149254992</v>
      </c>
      <c r="D35" s="39">
        <f t="shared" si="7"/>
        <v>-0.0293136498389284</v>
      </c>
      <c r="E35" s="61" t="str">
        <f t="shared" si="11"/>
        <v>长沙</v>
      </c>
      <c r="F35" s="67">
        <f t="shared" si="8"/>
        <v>63.9</v>
      </c>
      <c r="G35" s="63">
        <f t="shared" si="9"/>
        <v>6.39</v>
      </c>
      <c r="H35" s="122"/>
      <c r="I35" s="123" t="s">
        <v>6</v>
      </c>
      <c r="J35" s="38">
        <v>0.268070204883131</v>
      </c>
      <c r="K35" s="39">
        <f t="shared" si="12"/>
        <v>-0.180306189957632</v>
      </c>
      <c r="L35" s="144">
        <f t="shared" si="10"/>
        <v>63.9</v>
      </c>
      <c r="M35" s="9">
        <f t="shared" si="13"/>
        <v>0</v>
      </c>
    </row>
    <row r="36" spans="1:13">
      <c r="A36" s="61" t="s">
        <v>85</v>
      </c>
      <c r="B36" s="143">
        <v>0.225679862143114</v>
      </c>
      <c r="C36" s="143">
        <v>0.214652195604586</v>
      </c>
      <c r="D36" s="39">
        <v>-0.030425285566016</v>
      </c>
      <c r="E36" s="9"/>
      <c r="F36" s="9"/>
      <c r="G36" s="9"/>
      <c r="H36" s="9"/>
      <c r="I36" s="123" t="s">
        <v>86</v>
      </c>
      <c r="J36" s="38">
        <v>0.441950117306567</v>
      </c>
    </row>
    <row r="39" spans="1:13">
      <c r="B39" s="101" t="s">
        <v>89</v>
      </c>
      <c r="C39" s="9" t="s">
        <v>90</v>
      </c>
      <c r="D39" s="9" t="s">
        <v>91</v>
      </c>
      <c r="E39" s="9" t="s">
        <v>92</v>
      </c>
      <c r="F39" s="101" t="s">
        <v>93</v>
      </c>
      <c r="H39" s="101" t="s">
        <v>89</v>
      </c>
      <c r="I39" s="9" t="s">
        <v>90</v>
      </c>
      <c r="J39" s="9" t="s">
        <v>91</v>
      </c>
      <c r="K39" s="9" t="s">
        <v>92</v>
      </c>
      <c r="L39" s="9" t="s">
        <v>94</v>
      </c>
    </row>
    <row r="40" spans="1:13">
      <c r="A40" s="101" t="s">
        <v>13</v>
      </c>
      <c r="B40" s="145">
        <v>1223.635394</v>
      </c>
      <c r="C40" s="145">
        <v>219.789192</v>
      </c>
      <c r="D40" s="146">
        <v>723.51885</v>
      </c>
      <c r="E40" s="146">
        <v>98.392052</v>
      </c>
      <c r="F40" s="118">
        <f>(C40+E40)/(B40+D40)</f>
        <v>0.163408340649155</v>
      </c>
      <c r="G40" s="145"/>
      <c r="H40" s="145">
        <v>1163.63422</v>
      </c>
      <c r="I40" s="145">
        <v>196.847164</v>
      </c>
      <c r="J40" s="146">
        <v>751.742873</v>
      </c>
      <c r="K40" s="146">
        <v>92.22697</v>
      </c>
      <c r="L40" s="118">
        <f t="shared" ref="L40:L53" si="14">(I40+K40)/(H40+J40)</f>
        <v>0.150922831361229</v>
      </c>
    </row>
    <row r="41" spans="1:13">
      <c r="A41" s="101" t="s">
        <v>8</v>
      </c>
      <c r="B41" s="145">
        <v>1330.696716</v>
      </c>
      <c r="C41" s="145">
        <v>329.166639</v>
      </c>
      <c r="D41" s="146">
        <v>1803.430793</v>
      </c>
      <c r="E41" s="146">
        <v>315.390864</v>
      </c>
      <c r="F41" s="118">
        <f t="shared" ref="F41:F53" si="15">(C41+E41)/(B41+D41)</f>
        <v>0.20565771531282</v>
      </c>
      <c r="G41" s="145"/>
      <c r="H41" s="145">
        <v>1771.250712</v>
      </c>
      <c r="I41" s="145">
        <v>447.122358</v>
      </c>
      <c r="J41" s="146">
        <v>1791.256341</v>
      </c>
      <c r="K41" s="146">
        <v>325.552524</v>
      </c>
      <c r="L41" s="118">
        <f t="shared" si="14"/>
        <v>0.216890765549314</v>
      </c>
    </row>
    <row r="42" spans="1:13">
      <c r="A42" s="101" t="s">
        <v>2</v>
      </c>
      <c r="B42" s="145">
        <v>1890.004736</v>
      </c>
      <c r="C42" s="145">
        <v>342.004739</v>
      </c>
      <c r="D42" s="146">
        <v>1884.723465</v>
      </c>
      <c r="E42" s="146">
        <v>197.074424</v>
      </c>
      <c r="F42" s="118">
        <f t="shared" si="15"/>
        <v>0.14281270976204</v>
      </c>
      <c r="G42" s="145"/>
      <c r="H42" s="145">
        <v>1701.953116</v>
      </c>
      <c r="I42" s="145">
        <v>263.915085</v>
      </c>
      <c r="J42" s="146">
        <v>1925.821446</v>
      </c>
      <c r="K42" s="146">
        <v>161.236428</v>
      </c>
      <c r="L42" s="118">
        <f t="shared" si="14"/>
        <v>0.117193476533341</v>
      </c>
    </row>
    <row r="43" spans="1:13">
      <c r="A43" s="101" t="s">
        <v>5</v>
      </c>
      <c r="B43" s="145">
        <v>511.120547</v>
      </c>
      <c r="C43" s="145">
        <v>177.35</v>
      </c>
      <c r="D43" s="146">
        <v>519.88</v>
      </c>
      <c r="E43" s="146">
        <v>120.94</v>
      </c>
      <c r="F43" s="118">
        <f t="shared" si="15"/>
        <v>0.289320894026645</v>
      </c>
      <c r="G43" s="145"/>
      <c r="H43" s="145">
        <v>514.230069</v>
      </c>
      <c r="I43" s="145">
        <v>165.550423</v>
      </c>
      <c r="J43" s="146">
        <v>676.393222</v>
      </c>
      <c r="K43" s="146">
        <v>166.66</v>
      </c>
      <c r="L43" s="118">
        <f t="shared" si="14"/>
        <v>0.27902227808846</v>
      </c>
    </row>
    <row r="44" spans="1:13">
      <c r="A44" s="101" t="s">
        <v>14</v>
      </c>
      <c r="B44" s="145">
        <v>316.540311</v>
      </c>
      <c r="C44" s="145">
        <v>112.28233</v>
      </c>
      <c r="D44" s="146">
        <v>403.629873</v>
      </c>
      <c r="E44" s="146">
        <v>161.377256</v>
      </c>
      <c r="F44" s="118">
        <f t="shared" si="15"/>
        <v>0.379992940668591</v>
      </c>
      <c r="G44" s="145"/>
      <c r="H44" s="145">
        <v>360.334728</v>
      </c>
      <c r="I44" s="145">
        <v>123.033036</v>
      </c>
      <c r="J44" s="146">
        <v>235.83292</v>
      </c>
      <c r="K44" s="146">
        <v>141.851071</v>
      </c>
      <c r="L44" s="118">
        <f t="shared" si="14"/>
        <v>0.444311441401798</v>
      </c>
    </row>
    <row r="45" spans="1:13">
      <c r="A45" s="101" t="s">
        <v>3</v>
      </c>
      <c r="B45" s="145">
        <v>1848.73162</v>
      </c>
      <c r="C45" s="145">
        <v>253.636266</v>
      </c>
      <c r="D45" s="146">
        <v>1385.566734</v>
      </c>
      <c r="E45" s="146">
        <v>230.645766</v>
      </c>
      <c r="F45" s="118">
        <f t="shared" si="15"/>
        <v>0.14973325865286</v>
      </c>
      <c r="G45" s="145"/>
      <c r="H45" s="145">
        <v>2093.751989</v>
      </c>
      <c r="I45" s="145">
        <v>443.209206</v>
      </c>
      <c r="J45" s="146">
        <v>1559.827468</v>
      </c>
      <c r="K45" s="146">
        <v>179.206648</v>
      </c>
      <c r="L45" s="118">
        <f t="shared" si="14"/>
        <v>0.170357826160724</v>
      </c>
    </row>
    <row r="46" spans="1:13">
      <c r="A46" s="101" t="s">
        <v>4</v>
      </c>
      <c r="B46" s="145">
        <v>287.123788</v>
      </c>
      <c r="C46" s="145">
        <v>124.302941</v>
      </c>
      <c r="D46" s="146">
        <v>1425.546894</v>
      </c>
      <c r="E46" s="146">
        <v>241.19662</v>
      </c>
      <c r="F46" s="118">
        <f t="shared" si="15"/>
        <v>0.213409130454187</v>
      </c>
      <c r="G46" s="145"/>
      <c r="H46" s="145">
        <v>269.514583</v>
      </c>
      <c r="I46" s="145">
        <v>108.034068</v>
      </c>
      <c r="J46" s="146">
        <v>1462.949749</v>
      </c>
      <c r="K46" s="146">
        <v>183.429772</v>
      </c>
      <c r="L46" s="118">
        <f t="shared" si="14"/>
        <v>0.168236560266454</v>
      </c>
    </row>
    <row r="47" spans="1:13">
      <c r="A47" s="101" t="s">
        <v>10</v>
      </c>
      <c r="B47" s="145">
        <v>3845.99</v>
      </c>
      <c r="C47" s="145">
        <v>1016.38</v>
      </c>
      <c r="D47" s="146">
        <v>70.29</v>
      </c>
      <c r="E47" s="146">
        <v>17.7</v>
      </c>
      <c r="F47" s="118">
        <f t="shared" si="15"/>
        <v>0.264046493100595</v>
      </c>
      <c r="G47" s="145"/>
      <c r="H47" s="145">
        <v>4258.8</v>
      </c>
      <c r="I47" s="145">
        <v>934.51</v>
      </c>
      <c r="J47" s="146">
        <v>83.536082</v>
      </c>
      <c r="K47" s="146">
        <v>18.86</v>
      </c>
      <c r="L47" s="118">
        <f t="shared" si="14"/>
        <v>0.219552328976088</v>
      </c>
    </row>
    <row r="48" spans="1:13">
      <c r="A48" s="101" t="s">
        <v>9</v>
      </c>
      <c r="B48" s="145">
        <v>2395.195534</v>
      </c>
      <c r="C48" s="145">
        <v>1232.005958</v>
      </c>
      <c r="D48" s="146">
        <v>7.92444</v>
      </c>
      <c r="E48" s="146">
        <v>3.919412</v>
      </c>
      <c r="F48" s="118">
        <f t="shared" si="15"/>
        <v>0.514300319323133</v>
      </c>
      <c r="G48" s="145"/>
      <c r="H48" s="145">
        <v>2472.891723</v>
      </c>
      <c r="I48" s="145">
        <v>1187.148876</v>
      </c>
      <c r="J48" s="146">
        <v>244.413606</v>
      </c>
      <c r="K48" s="146">
        <v>96.624745</v>
      </c>
      <c r="L48" s="118">
        <f t="shared" si="14"/>
        <v>0.472443640138314</v>
      </c>
    </row>
    <row r="49" spans="1:12">
      <c r="A49" s="101" t="s">
        <v>7</v>
      </c>
      <c r="B49" s="145">
        <v>414</v>
      </c>
      <c r="C49" s="145">
        <v>181.08</v>
      </c>
      <c r="D49" s="146">
        <v>0</v>
      </c>
      <c r="E49" s="146">
        <v>0</v>
      </c>
      <c r="F49" s="118">
        <f t="shared" si="15"/>
        <v>0.437391304347826</v>
      </c>
      <c r="G49" s="145"/>
      <c r="H49" s="145">
        <v>460.18</v>
      </c>
      <c r="I49" s="145">
        <v>213.672</v>
      </c>
      <c r="J49" s="146">
        <v>223.46</v>
      </c>
      <c r="K49" s="146">
        <v>59.93</v>
      </c>
      <c r="L49" s="118">
        <f t="shared" si="14"/>
        <v>0.400213562693815</v>
      </c>
    </row>
    <row r="50" spans="1:12">
      <c r="A50" s="101" t="s">
        <v>11</v>
      </c>
      <c r="B50" s="145">
        <v>1571.77</v>
      </c>
      <c r="C50" s="145">
        <v>413.95</v>
      </c>
      <c r="D50" s="146">
        <v>627.51</v>
      </c>
      <c r="E50" s="146">
        <v>114.71</v>
      </c>
      <c r="F50" s="118">
        <f t="shared" si="15"/>
        <v>0.240378669382707</v>
      </c>
      <c r="G50" s="145"/>
      <c r="H50" s="145">
        <v>2707.05</v>
      </c>
      <c r="I50" s="145">
        <v>656.456605</v>
      </c>
      <c r="J50" s="146">
        <v>319.12</v>
      </c>
      <c r="K50" s="146">
        <v>5.099464</v>
      </c>
      <c r="L50" s="118">
        <f t="shared" si="14"/>
        <v>0.218611667222925</v>
      </c>
    </row>
    <row r="51" spans="1:12">
      <c r="A51" s="101" t="s">
        <v>12</v>
      </c>
      <c r="B51" s="145">
        <v>571.91669</v>
      </c>
      <c r="C51" s="145">
        <v>70.484219</v>
      </c>
      <c r="D51" s="146">
        <v>290.859191</v>
      </c>
      <c r="E51" s="146">
        <v>45.55148</v>
      </c>
      <c r="F51" s="118">
        <f t="shared" si="15"/>
        <v>0.13449112516394</v>
      </c>
      <c r="G51" s="145"/>
      <c r="H51" s="145">
        <v>627.348516</v>
      </c>
      <c r="I51" s="145">
        <v>94.162425</v>
      </c>
      <c r="J51" s="146">
        <v>164.587348</v>
      </c>
      <c r="K51" s="146">
        <v>49.262992</v>
      </c>
      <c r="L51" s="118">
        <f t="shared" si="14"/>
        <v>0.181107364270094</v>
      </c>
    </row>
    <row r="52" spans="1:12">
      <c r="A52" s="101" t="s">
        <v>6</v>
      </c>
      <c r="B52" s="145">
        <v>1525.671536</v>
      </c>
      <c r="C52" s="145">
        <v>202.555713</v>
      </c>
      <c r="D52" s="146">
        <v>1222.290047</v>
      </c>
      <c r="E52" s="146">
        <v>119.169212</v>
      </c>
      <c r="F52" s="118">
        <f t="shared" si="15"/>
        <v>0.117077664764428</v>
      </c>
      <c r="G52" s="145"/>
      <c r="H52" s="145">
        <v>1559.877903</v>
      </c>
      <c r="I52" s="145">
        <v>167.277019</v>
      </c>
      <c r="J52" s="146">
        <v>1101.601978</v>
      </c>
      <c r="K52" s="146">
        <v>66.305141</v>
      </c>
      <c r="L52" s="118">
        <f t="shared" si="14"/>
        <v>0.0877640149254992</v>
      </c>
    </row>
    <row r="53" spans="1:12">
      <c r="A53" s="101" t="s">
        <v>85</v>
      </c>
      <c r="B53" s="145">
        <f>SUM(B40:B52)</f>
        <v>17732.396872</v>
      </c>
      <c r="C53" s="145">
        <f t="shared" ref="C53:K53" si="16">SUM(C40:C52)</f>
        <v>4674.987997</v>
      </c>
      <c r="D53" s="146">
        <f t="shared" si="16"/>
        <v>10365.170287</v>
      </c>
      <c r="E53" s="146">
        <f t="shared" si="16"/>
        <v>1666.067086</v>
      </c>
      <c r="F53" s="118">
        <f t="shared" si="15"/>
        <v>0.225679862143114</v>
      </c>
      <c r="H53" s="145">
        <f t="shared" si="16"/>
        <v>19960.817559</v>
      </c>
      <c r="I53" s="145">
        <f t="shared" si="16"/>
        <v>5000.938265</v>
      </c>
      <c r="J53" s="146">
        <f t="shared" si="16"/>
        <v>10540.543033</v>
      </c>
      <c r="K53" s="146">
        <f t="shared" si="16"/>
        <v>1546.245755</v>
      </c>
      <c r="L53" s="118">
        <f t="shared" si="14"/>
        <v>0.214652195604586</v>
      </c>
    </row>
  </sheetData>
  <sortState ref="L40:P52">
    <sortCondition ref="L40"/>
  </sortState>
  <mergeCells count="2">
    <mergeCell ref="A2:C2"/>
    <mergeCell ref="A21:C2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2:M54"/>
  <sheetViews>
    <sheetView zoomScale="90" zoomScaleNormal="90" topLeftCell="A16" workbookViewId="0">
      <selection activeCell="O13" sqref="O13"/>
    </sheetView>
  </sheetViews>
  <sheetFormatPr defaultColWidth="13.3333333333333" defaultRowHeight="15" customHeight="1"/>
  <cols>
    <col min="1" max="12" width="13.3333333333333" style="112" customWidth="1"/>
    <col min="13" max="16384" width="13.3333333333333" style="112"/>
  </cols>
  <sheetData>
    <row r="2" s="112" customFormat="1" customHeight="1" spans="1:11">
      <c r="A2" s="113" t="s">
        <v>79</v>
      </c>
      <c r="B2" s="113" t="s">
        <v>95</v>
      </c>
      <c r="C2" s="113" t="s">
        <v>96</v>
      </c>
      <c r="D2" s="113" t="s">
        <v>97</v>
      </c>
      <c r="E2" s="9" t="s">
        <v>98</v>
      </c>
      <c r="F2" s="58" t="s">
        <v>79</v>
      </c>
      <c r="G2" s="58" t="s">
        <v>80</v>
      </c>
      <c r="H2" s="58" t="s">
        <v>81</v>
      </c>
      <c r="I2" s="114"/>
      <c r="J2" s="13" t="s">
        <v>79</v>
      </c>
      <c r="K2" s="13" t="s">
        <v>82</v>
      </c>
    </row>
    <row r="3" s="112" customFormat="1" customHeight="1" spans="1:11">
      <c r="A3" s="115" t="s">
        <v>13</v>
      </c>
      <c r="B3" s="116">
        <v>280.6705755</v>
      </c>
      <c r="C3" s="117">
        <v>127.88336715</v>
      </c>
      <c r="D3" s="34">
        <f>C3/B3</f>
        <v>0.455635105041497</v>
      </c>
      <c r="E3" s="118">
        <v>1</v>
      </c>
      <c r="F3" s="119" t="s">
        <v>13</v>
      </c>
      <c r="G3" s="120">
        <f>ROUND(IF(D3=$E$3,100,IF(AND(D3&gt;$E$3),100+(D3-$E$3)/1%*3,100-($E$3-D3)/1%*2)),1)</f>
        <v>-8.9</v>
      </c>
      <c r="H3" s="121">
        <f>G3*0.1</f>
        <v>-0.89</v>
      </c>
      <c r="I3" s="122"/>
      <c r="J3" s="123" t="s">
        <v>13</v>
      </c>
      <c r="K3" s="124">
        <v>1</v>
      </c>
    </row>
    <row r="4" s="112" customFormat="1" customHeight="1" spans="1:11">
      <c r="A4" s="115" t="s">
        <v>8</v>
      </c>
      <c r="B4" s="116">
        <v>520.4106915</v>
      </c>
      <c r="C4" s="117">
        <v>202.32602145</v>
      </c>
      <c r="D4" s="34">
        <f t="shared" ref="D4:D16" si="0">C4/B4</f>
        <v>0.388781446566418</v>
      </c>
      <c r="E4" s="118"/>
      <c r="F4" s="119" t="s">
        <v>8</v>
      </c>
      <c r="G4" s="120">
        <f t="shared" ref="G4:G15" si="1">ROUND(IF(D4=$E$3,100,IF(AND(D4&gt;$E$3),100+(D4-$E$3)/1%*3,100-($E$3-D4)/1%*2)),1)</f>
        <v>-22.2</v>
      </c>
      <c r="H4" s="121">
        <f t="shared" ref="H4:H15" si="2">G4*0.1</f>
        <v>-2.22</v>
      </c>
      <c r="I4" s="122"/>
      <c r="J4" s="123" t="s">
        <v>8</v>
      </c>
      <c r="K4" s="124">
        <v>1</v>
      </c>
    </row>
    <row r="5" s="112" customFormat="1" customHeight="1" spans="1:11">
      <c r="A5" s="115" t="s">
        <v>2</v>
      </c>
      <c r="B5" s="116">
        <v>1642.4747039715</v>
      </c>
      <c r="C5" s="117">
        <v>595.0289436</v>
      </c>
      <c r="D5" s="34">
        <f t="shared" si="0"/>
        <v>0.362275864682251</v>
      </c>
      <c r="E5" s="118"/>
      <c r="F5" s="119" t="s">
        <v>2</v>
      </c>
      <c r="G5" s="120">
        <f t="shared" si="1"/>
        <v>-27.5</v>
      </c>
      <c r="H5" s="121">
        <f t="shared" si="2"/>
        <v>-2.75</v>
      </c>
      <c r="I5" s="122"/>
      <c r="J5" s="123" t="s">
        <v>2</v>
      </c>
      <c r="K5" s="124">
        <v>1</v>
      </c>
    </row>
    <row r="6" s="112" customFormat="1" customHeight="1" spans="1:11">
      <c r="A6" s="115" t="s">
        <v>5</v>
      </c>
      <c r="B6" s="116">
        <v>505.97782195</v>
      </c>
      <c r="C6" s="117">
        <v>220.90802895</v>
      </c>
      <c r="D6" s="34">
        <f t="shared" si="0"/>
        <v>0.436596268387095</v>
      </c>
      <c r="E6" s="118"/>
      <c r="F6" s="119" t="s">
        <v>5</v>
      </c>
      <c r="G6" s="120">
        <f t="shared" si="1"/>
        <v>-12.7</v>
      </c>
      <c r="H6" s="121">
        <f t="shared" si="2"/>
        <v>-1.27</v>
      </c>
      <c r="I6" s="122"/>
      <c r="J6" s="123" t="s">
        <v>5</v>
      </c>
      <c r="K6" s="124">
        <v>1</v>
      </c>
    </row>
    <row r="7" s="112" customFormat="1" customHeight="1" spans="1:11">
      <c r="A7" s="115" t="s">
        <v>14</v>
      </c>
      <c r="B7" s="116">
        <v>20.96364165</v>
      </c>
      <c r="C7" s="117">
        <v>8.71505145</v>
      </c>
      <c r="D7" s="34">
        <f t="shared" si="0"/>
        <v>0.415722210649408</v>
      </c>
      <c r="E7" s="118"/>
      <c r="F7" s="119" t="s">
        <v>14</v>
      </c>
      <c r="G7" s="120">
        <f t="shared" si="1"/>
        <v>-16.9</v>
      </c>
      <c r="H7" s="121">
        <f t="shared" si="2"/>
        <v>-1.69</v>
      </c>
      <c r="I7" s="122"/>
      <c r="J7" s="123" t="s">
        <v>14</v>
      </c>
      <c r="K7" s="124">
        <v>1</v>
      </c>
    </row>
    <row r="8" s="112" customFormat="1" customHeight="1" spans="1:11">
      <c r="A8" s="115" t="s">
        <v>3</v>
      </c>
      <c r="B8" s="116">
        <v>922.01720415</v>
      </c>
      <c r="C8" s="117">
        <v>394.5054687</v>
      </c>
      <c r="D8" s="34">
        <f t="shared" si="0"/>
        <v>0.427872133973564</v>
      </c>
      <c r="E8" s="118"/>
      <c r="F8" s="119" t="s">
        <v>3</v>
      </c>
      <c r="G8" s="120">
        <f t="shared" si="1"/>
        <v>-14.4</v>
      </c>
      <c r="H8" s="121">
        <f t="shared" si="2"/>
        <v>-1.44</v>
      </c>
      <c r="I8" s="122"/>
      <c r="J8" s="123" t="s">
        <v>3</v>
      </c>
      <c r="K8" s="124">
        <v>1</v>
      </c>
    </row>
    <row r="9" s="112" customFormat="1" customHeight="1" spans="1:11">
      <c r="A9" s="115" t="s">
        <v>4</v>
      </c>
      <c r="B9" s="116">
        <v>2112.03975675</v>
      </c>
      <c r="C9" s="117">
        <v>795.00725535</v>
      </c>
      <c r="D9" s="34">
        <f t="shared" si="0"/>
        <v>0.376416804091489</v>
      </c>
      <c r="E9" s="118"/>
      <c r="F9" s="119" t="s">
        <v>4</v>
      </c>
      <c r="G9" s="120">
        <f t="shared" si="1"/>
        <v>-24.7</v>
      </c>
      <c r="H9" s="121">
        <f t="shared" si="2"/>
        <v>-2.47</v>
      </c>
      <c r="I9" s="122"/>
      <c r="J9" s="123" t="s">
        <v>4</v>
      </c>
      <c r="K9" s="124">
        <v>1</v>
      </c>
    </row>
    <row r="10" s="112" customFormat="1" customHeight="1" spans="1:11">
      <c r="A10" s="115" t="s">
        <v>10</v>
      </c>
      <c r="B10" s="116">
        <v>289.7532792</v>
      </c>
      <c r="C10" s="117">
        <v>136.09905645</v>
      </c>
      <c r="D10" s="34">
        <f t="shared" si="0"/>
        <v>0.469706699526457</v>
      </c>
      <c r="E10" s="118"/>
      <c r="F10" s="119" t="s">
        <v>10</v>
      </c>
      <c r="G10" s="120">
        <f t="shared" si="1"/>
        <v>-6.1</v>
      </c>
      <c r="H10" s="121">
        <f t="shared" si="2"/>
        <v>-0.61</v>
      </c>
      <c r="I10" s="122"/>
      <c r="J10" s="123" t="s">
        <v>10</v>
      </c>
      <c r="K10" s="124">
        <v>1</v>
      </c>
    </row>
    <row r="11" s="112" customFormat="1" customHeight="1" spans="1:11">
      <c r="A11" s="115" t="s">
        <v>9</v>
      </c>
      <c r="B11" s="116">
        <v>159.07708005</v>
      </c>
      <c r="C11" s="117">
        <v>60.55038255</v>
      </c>
      <c r="D11" s="34">
        <f t="shared" si="0"/>
        <v>0.380635491492352</v>
      </c>
      <c r="E11" s="118"/>
      <c r="F11" s="119" t="s">
        <v>9</v>
      </c>
      <c r="G11" s="120">
        <f t="shared" si="1"/>
        <v>-23.9</v>
      </c>
      <c r="H11" s="121">
        <f t="shared" si="2"/>
        <v>-2.39</v>
      </c>
      <c r="I11" s="122"/>
      <c r="J11" s="123" t="s">
        <v>9</v>
      </c>
      <c r="K11" s="124">
        <v>1</v>
      </c>
    </row>
    <row r="12" s="112" customFormat="1" customHeight="1" spans="1:11">
      <c r="A12" s="115" t="s">
        <v>7</v>
      </c>
      <c r="B12" s="116">
        <v>188.92003095</v>
      </c>
      <c r="C12" s="117">
        <v>84.0047208</v>
      </c>
      <c r="D12" s="34">
        <f t="shared" si="0"/>
        <v>0.444657564248615</v>
      </c>
      <c r="E12" s="118"/>
      <c r="F12" s="119" t="s">
        <v>7</v>
      </c>
      <c r="G12" s="120">
        <f t="shared" si="1"/>
        <v>-11.1</v>
      </c>
      <c r="H12" s="121">
        <f t="shared" si="2"/>
        <v>-1.11</v>
      </c>
      <c r="I12" s="122"/>
      <c r="J12" s="123" t="s">
        <v>7</v>
      </c>
      <c r="K12" s="124">
        <v>1</v>
      </c>
    </row>
    <row r="13" s="112" customFormat="1" customHeight="1" spans="1:11">
      <c r="A13" s="115" t="s">
        <v>11</v>
      </c>
      <c r="B13" s="116">
        <v>412.925833032804</v>
      </c>
      <c r="C13" s="117">
        <v>195.13466175</v>
      </c>
      <c r="D13" s="34">
        <f t="shared" si="0"/>
        <v>0.472565885056889</v>
      </c>
      <c r="E13" s="118"/>
      <c r="F13" s="119" t="s">
        <v>11</v>
      </c>
      <c r="G13" s="120">
        <f t="shared" si="1"/>
        <v>-5.5</v>
      </c>
      <c r="H13" s="121">
        <f t="shared" si="2"/>
        <v>-0.55</v>
      </c>
      <c r="I13" s="122"/>
      <c r="J13" s="123" t="s">
        <v>11</v>
      </c>
      <c r="K13" s="124">
        <v>1</v>
      </c>
    </row>
    <row r="14" s="112" customFormat="1" customHeight="1" spans="1:11">
      <c r="A14" s="115" t="s">
        <v>12</v>
      </c>
      <c r="B14" s="116">
        <v>121.0967667</v>
      </c>
      <c r="C14" s="117">
        <v>74.5564155</v>
      </c>
      <c r="D14" s="34">
        <f t="shared" si="0"/>
        <v>0.6156763514975</v>
      </c>
      <c r="E14" s="118"/>
      <c r="F14" s="119" t="s">
        <v>12</v>
      </c>
      <c r="G14" s="120">
        <f t="shared" si="1"/>
        <v>23.1</v>
      </c>
      <c r="H14" s="121">
        <f t="shared" si="2"/>
        <v>2.31</v>
      </c>
      <c r="I14" s="122"/>
      <c r="J14" s="123" t="s">
        <v>12</v>
      </c>
      <c r="K14" s="124">
        <v>1</v>
      </c>
    </row>
    <row r="15" s="112" customFormat="1" customHeight="1" spans="1:11">
      <c r="A15" s="115" t="s">
        <v>6</v>
      </c>
      <c r="B15" s="116">
        <v>661.00419525</v>
      </c>
      <c r="C15" s="117">
        <v>222.49288005</v>
      </c>
      <c r="D15" s="34">
        <f t="shared" si="0"/>
        <v>0.336598287346498</v>
      </c>
      <c r="E15" s="118"/>
      <c r="F15" s="119" t="s">
        <v>6</v>
      </c>
      <c r="G15" s="120">
        <f t="shared" si="1"/>
        <v>-32.7</v>
      </c>
      <c r="H15" s="121">
        <f t="shared" si="2"/>
        <v>-3.27</v>
      </c>
      <c r="I15" s="122"/>
      <c r="J15" s="123" t="s">
        <v>6</v>
      </c>
      <c r="K15" s="124">
        <v>1</v>
      </c>
    </row>
    <row r="16" s="112" customFormat="1" customHeight="1" spans="1:11">
      <c r="A16" s="115" t="s">
        <v>85</v>
      </c>
      <c r="B16" s="117">
        <v>7837.3315806543</v>
      </c>
      <c r="C16" s="117">
        <f>SUM(C3:C15)</f>
        <v>3117.21225375</v>
      </c>
      <c r="D16" s="34">
        <f t="shared" si="0"/>
        <v>0.397738978078271</v>
      </c>
      <c r="E16" s="118"/>
      <c r="F16" s="125"/>
      <c r="G16" s="125"/>
    </row>
    <row r="17" customHeight="1" spans="1:13">
      <c r="B17" s="125"/>
      <c r="C17" s="125"/>
      <c r="D17" s="125"/>
      <c r="E17" s="125"/>
      <c r="F17" s="125"/>
      <c r="G17" s="125"/>
    </row>
    <row r="18" customHeight="1" spans="1:13">
      <c r="B18" s="125"/>
      <c r="C18" s="125"/>
      <c r="D18" s="125"/>
      <c r="E18" s="125"/>
      <c r="F18" s="125"/>
      <c r="G18" s="125"/>
    </row>
    <row r="19" customHeight="1" spans="1:13">
      <c r="B19" s="125"/>
      <c r="C19" s="125"/>
      <c r="D19" s="125"/>
      <c r="E19" s="125"/>
      <c r="F19" s="125"/>
      <c r="G19" s="125"/>
    </row>
    <row r="20" customHeight="1" spans="1:13">
      <c r="A20" s="126" t="s">
        <v>79</v>
      </c>
      <c r="B20" s="126" t="s">
        <v>99</v>
      </c>
      <c r="C20" s="126" t="s">
        <v>100</v>
      </c>
      <c r="D20" s="126" t="s">
        <v>101</v>
      </c>
      <c r="E20" s="126" t="s">
        <v>96</v>
      </c>
      <c r="F20" s="126" t="s">
        <v>102</v>
      </c>
      <c r="G20" s="126" t="s">
        <v>103</v>
      </c>
      <c r="H20" s="126" t="s">
        <v>104</v>
      </c>
      <c r="I20" s="126" t="s">
        <v>105</v>
      </c>
      <c r="J20" s="126" t="s">
        <v>106</v>
      </c>
      <c r="K20" s="126" t="s">
        <v>107</v>
      </c>
      <c r="L20" s="126" t="s">
        <v>108</v>
      </c>
      <c r="M20" s="126" t="s">
        <v>43</v>
      </c>
    </row>
    <row r="21" customHeight="1" spans="1:13">
      <c r="A21" s="127" t="s">
        <v>14</v>
      </c>
      <c r="B21" s="128">
        <v>20.96364165</v>
      </c>
      <c r="C21" s="128">
        <v>20.4123885</v>
      </c>
      <c r="D21" s="128">
        <v>20.96364165</v>
      </c>
      <c r="E21" s="128">
        <v>8.71505145</v>
      </c>
      <c r="F21" s="128">
        <v>2.1763707</v>
      </c>
      <c r="G21" s="128">
        <v>5.38</v>
      </c>
      <c r="H21" s="128">
        <v>7</v>
      </c>
      <c r="I21" s="128">
        <f t="shared" ref="I21:I27" si="3">E21+G21+H21</f>
        <v>21.09505145</v>
      </c>
      <c r="J21" s="129">
        <f t="shared" ref="J21:J27" si="4">E21+G21+H21-D21</f>
        <v>0.1314098</v>
      </c>
      <c r="K21" s="129">
        <v>0.212756649999999</v>
      </c>
      <c r="L21" s="129">
        <f t="shared" ref="L21:L36" si="5">-K21+J21</f>
        <v>-0.0813468499999989</v>
      </c>
      <c r="M21" s="130"/>
    </row>
    <row r="22" customHeight="1" spans="1:13">
      <c r="A22" s="127" t="s">
        <v>8</v>
      </c>
      <c r="B22" s="128">
        <v>520.4106915</v>
      </c>
      <c r="C22" s="128">
        <v>396.0942888</v>
      </c>
      <c r="D22" s="128">
        <v>520.4106915</v>
      </c>
      <c r="E22" s="128">
        <v>202.32602145</v>
      </c>
      <c r="F22" s="128">
        <v>10.9880841</v>
      </c>
      <c r="G22" s="128">
        <v>170.45</v>
      </c>
      <c r="H22" s="128">
        <v>99</v>
      </c>
      <c r="I22" s="128">
        <f t="shared" si="3"/>
        <v>471.77602145</v>
      </c>
      <c r="J22" s="128">
        <f t="shared" si="4"/>
        <v>-48.63467005</v>
      </c>
      <c r="K22" s="128">
        <v>-50.4982505</v>
      </c>
      <c r="L22" s="128">
        <f t="shared" si="5"/>
        <v>1.86358045000004</v>
      </c>
      <c r="M22" s="131"/>
    </row>
    <row r="23" customHeight="1" spans="1:13">
      <c r="A23" s="127" t="s">
        <v>11</v>
      </c>
      <c r="B23" s="128">
        <v>412.925833032804</v>
      </c>
      <c r="C23" s="128">
        <v>392.4034065</v>
      </c>
      <c r="D23" s="128">
        <v>412.925833032804</v>
      </c>
      <c r="E23" s="128">
        <v>195.13466175</v>
      </c>
      <c r="F23" s="128">
        <v>29.4754729499999</v>
      </c>
      <c r="G23" s="128">
        <v>149.9</v>
      </c>
      <c r="H23" s="128">
        <v>50</v>
      </c>
      <c r="I23" s="128">
        <f t="shared" si="3"/>
        <v>395.03466175</v>
      </c>
      <c r="J23" s="128">
        <f t="shared" si="4"/>
        <v>-17.891171282804</v>
      </c>
      <c r="K23" s="128">
        <v>-55.292366332804</v>
      </c>
      <c r="L23" s="128">
        <f t="shared" si="5"/>
        <v>37.40119505</v>
      </c>
      <c r="M23" s="131"/>
    </row>
    <row r="24" customHeight="1" spans="1:13">
      <c r="A24" s="127" t="s">
        <v>5</v>
      </c>
      <c r="B24" s="128">
        <v>505.97782195</v>
      </c>
      <c r="C24" s="128">
        <v>501.9982086</v>
      </c>
      <c r="D24" s="128">
        <f>693.97782195-188</f>
        <v>505.97782195</v>
      </c>
      <c r="E24" s="128">
        <v>220.90802895</v>
      </c>
      <c r="F24" s="128">
        <v>17.2381083</v>
      </c>
      <c r="G24" s="128">
        <v>144.01</v>
      </c>
      <c r="H24" s="128">
        <v>15</v>
      </c>
      <c r="I24" s="128">
        <f t="shared" si="3"/>
        <v>379.91802895</v>
      </c>
      <c r="J24" s="132">
        <f t="shared" si="4"/>
        <v>-126.059793</v>
      </c>
      <c r="K24" s="128">
        <v>-123.25837255</v>
      </c>
      <c r="L24" s="133">
        <f t="shared" si="5"/>
        <v>-2.80142045000001</v>
      </c>
      <c r="M24" s="131" t="s">
        <v>109</v>
      </c>
    </row>
    <row r="25" customHeight="1" spans="1:13">
      <c r="A25" s="127" t="s">
        <v>6</v>
      </c>
      <c r="B25" s="128">
        <v>614.49591735</v>
      </c>
      <c r="C25" s="128">
        <v>661.00419525</v>
      </c>
      <c r="D25" s="128">
        <v>661.00419525</v>
      </c>
      <c r="E25" s="128">
        <v>222.49288005</v>
      </c>
      <c r="F25" s="128">
        <v>-22.59400815</v>
      </c>
      <c r="G25" s="128">
        <v>274.785021</v>
      </c>
      <c r="H25" s="128">
        <v>31.78</v>
      </c>
      <c r="I25" s="128">
        <f t="shared" si="3"/>
        <v>529.05790105</v>
      </c>
      <c r="J25" s="132">
        <f t="shared" si="4"/>
        <v>-131.9462942</v>
      </c>
      <c r="K25" s="128">
        <v>-137.496947</v>
      </c>
      <c r="L25" s="128">
        <f t="shared" si="5"/>
        <v>5.55065279999999</v>
      </c>
      <c r="M25" s="131"/>
    </row>
    <row r="26" customHeight="1" spans="1:13">
      <c r="A26" s="127" t="s">
        <v>3</v>
      </c>
      <c r="B26" s="128">
        <v>922.01720415</v>
      </c>
      <c r="C26" s="128">
        <v>810.02518065</v>
      </c>
      <c r="D26" s="128">
        <v>922.01720415</v>
      </c>
      <c r="E26" s="128">
        <v>394.5054687</v>
      </c>
      <c r="F26" s="128">
        <v>-25.4122953</v>
      </c>
      <c r="G26" s="128">
        <v>301.77</v>
      </c>
      <c r="H26" s="128">
        <v>76.94</v>
      </c>
      <c r="I26" s="128">
        <f t="shared" si="3"/>
        <v>773.2154687</v>
      </c>
      <c r="J26" s="132">
        <f t="shared" si="4"/>
        <v>-148.80173545</v>
      </c>
      <c r="K26" s="128">
        <v>-203.74318855</v>
      </c>
      <c r="L26" s="128">
        <f t="shared" si="5"/>
        <v>54.9414531</v>
      </c>
      <c r="M26" s="131"/>
    </row>
    <row r="27" customHeight="1" spans="1:13">
      <c r="A27" s="134" t="s">
        <v>2</v>
      </c>
      <c r="B27" s="128">
        <v>1642.4747039715</v>
      </c>
      <c r="C27" s="128">
        <v>1562.05772625</v>
      </c>
      <c r="D27" s="128">
        <v>1642.4747039715</v>
      </c>
      <c r="E27" s="128">
        <v>595.0289436</v>
      </c>
      <c r="F27" s="128">
        <v>-56.2857517215001</v>
      </c>
      <c r="G27" s="128">
        <v>602.544868</v>
      </c>
      <c r="H27" s="128">
        <v>236.96337757</v>
      </c>
      <c r="I27" s="128">
        <f t="shared" si="3"/>
        <v>1434.53718917</v>
      </c>
      <c r="J27" s="132">
        <f t="shared" si="4"/>
        <v>-207.9375148015</v>
      </c>
      <c r="K27" s="128">
        <v>-207.327844279335</v>
      </c>
      <c r="L27" s="128">
        <f t="shared" si="5"/>
        <v>-0.609670522165118</v>
      </c>
      <c r="M27" s="131" t="s">
        <v>110</v>
      </c>
    </row>
    <row r="28" customHeight="1" spans="1:13">
      <c r="A28" s="135" t="s">
        <v>111</v>
      </c>
      <c r="B28" s="136">
        <f t="shared" ref="B28:K28" si="6">SUM(B21:B27)</f>
        <v>4639.2658136043</v>
      </c>
      <c r="C28" s="136">
        <f t="shared" si="6"/>
        <v>4343.99539455</v>
      </c>
      <c r="D28" s="136">
        <f t="shared" si="6"/>
        <v>4685.7740915043</v>
      </c>
      <c r="E28" s="136">
        <f t="shared" si="6"/>
        <v>1839.11105595</v>
      </c>
      <c r="F28" s="136">
        <f t="shared" si="6"/>
        <v>-44.4140191215002</v>
      </c>
      <c r="G28" s="136">
        <f t="shared" si="6"/>
        <v>1648.839889</v>
      </c>
      <c r="H28" s="136">
        <f t="shared" si="6"/>
        <v>516.68337757</v>
      </c>
      <c r="I28" s="136">
        <f t="shared" si="6"/>
        <v>4004.63432252</v>
      </c>
      <c r="J28" s="136">
        <f t="shared" si="6"/>
        <v>-681.139768984304</v>
      </c>
      <c r="K28" s="136">
        <f t="shared" si="6"/>
        <v>-777.404212562139</v>
      </c>
      <c r="L28" s="136">
        <f t="shared" si="5"/>
        <v>96.2644435778349</v>
      </c>
      <c r="M28" s="137"/>
    </row>
    <row r="29" customHeight="1" spans="1:13">
      <c r="A29" s="127" t="s">
        <v>7</v>
      </c>
      <c r="B29" s="128">
        <v>188.92003095</v>
      </c>
      <c r="C29" s="128">
        <v>152.00000235</v>
      </c>
      <c r="D29" s="128">
        <v>188.92003095</v>
      </c>
      <c r="E29" s="128">
        <v>84.0047208</v>
      </c>
      <c r="F29" s="128">
        <v>1.87070835</v>
      </c>
      <c r="G29" s="128">
        <v>93.37</v>
      </c>
      <c r="H29" s="128">
        <v>6.94</v>
      </c>
      <c r="I29" s="128">
        <f t="shared" ref="I29:I34" si="7">E29+G29+H29</f>
        <v>184.3147208</v>
      </c>
      <c r="J29" s="128">
        <f t="shared" ref="J29:J34" si="8">E29+G29+H29-D29</f>
        <v>-4.60531015000001</v>
      </c>
      <c r="K29" s="128">
        <v>-3.8464132</v>
      </c>
      <c r="L29" s="133">
        <f t="shared" si="5"/>
        <v>-0.758896950000008</v>
      </c>
      <c r="M29" s="131"/>
    </row>
    <row r="30" customHeight="1" spans="1:13">
      <c r="A30" s="127" t="s">
        <v>12</v>
      </c>
      <c r="B30" s="128">
        <v>121.0967667</v>
      </c>
      <c r="C30" s="128">
        <v>100.25262555</v>
      </c>
      <c r="D30" s="128">
        <v>121.0967667</v>
      </c>
      <c r="E30" s="128">
        <v>74.5564155</v>
      </c>
      <c r="F30" s="128">
        <v>29.05530495</v>
      </c>
      <c r="G30" s="128">
        <v>15.585824</v>
      </c>
      <c r="H30" s="128">
        <v>5</v>
      </c>
      <c r="I30" s="128">
        <f t="shared" si="7"/>
        <v>95.1422395</v>
      </c>
      <c r="J30" s="128">
        <f t="shared" si="8"/>
        <v>-25.9545272</v>
      </c>
      <c r="K30" s="128">
        <v>-34.0728768</v>
      </c>
      <c r="L30" s="128">
        <f t="shared" si="5"/>
        <v>8.1183496</v>
      </c>
      <c r="M30" s="131"/>
    </row>
    <row r="31" customHeight="1" spans="1:13">
      <c r="A31" s="127" t="s">
        <v>9</v>
      </c>
      <c r="B31" s="128">
        <v>159.07708005</v>
      </c>
      <c r="C31" s="128">
        <v>115.4434344</v>
      </c>
      <c r="D31" s="128">
        <v>159.07708005</v>
      </c>
      <c r="E31" s="128">
        <v>60.55038255</v>
      </c>
      <c r="F31" s="128">
        <v>-3.9209268</v>
      </c>
      <c r="G31" s="128">
        <v>42.3255932</v>
      </c>
      <c r="H31" s="128">
        <v>9.42</v>
      </c>
      <c r="I31" s="128">
        <f t="shared" si="7"/>
        <v>112.29597575</v>
      </c>
      <c r="J31" s="128">
        <f t="shared" si="8"/>
        <v>-46.7811043</v>
      </c>
      <c r="K31" s="128">
        <v>-56.6347598501</v>
      </c>
      <c r="L31" s="133">
        <f t="shared" si="5"/>
        <v>9.8536555501</v>
      </c>
      <c r="M31" s="131"/>
    </row>
    <row r="32" customHeight="1" spans="1:13">
      <c r="A32" s="127" t="s">
        <v>10</v>
      </c>
      <c r="B32" s="128">
        <v>289.7532792</v>
      </c>
      <c r="C32" s="128">
        <v>193.0000002</v>
      </c>
      <c r="D32" s="128">
        <v>289.7532792</v>
      </c>
      <c r="E32" s="128">
        <v>136.09905645</v>
      </c>
      <c r="F32" s="128">
        <v>23.4274446</v>
      </c>
      <c r="G32" s="128">
        <v>93.13</v>
      </c>
      <c r="H32" s="128">
        <v>7.08</v>
      </c>
      <c r="I32" s="128">
        <f t="shared" si="7"/>
        <v>236.30905645</v>
      </c>
      <c r="J32" s="128">
        <f t="shared" si="8"/>
        <v>-53.44422275</v>
      </c>
      <c r="K32" s="128">
        <v>-53.4434502</v>
      </c>
      <c r="L32" s="128">
        <f t="shared" si="5"/>
        <v>-0.000772549999993544</v>
      </c>
      <c r="M32" s="131" t="s">
        <v>112</v>
      </c>
    </row>
    <row r="33" customHeight="1" spans="1:13">
      <c r="A33" s="127" t="s">
        <v>13</v>
      </c>
      <c r="B33" s="128">
        <v>280.6705755</v>
      </c>
      <c r="C33" s="128">
        <v>239.48987685</v>
      </c>
      <c r="D33" s="128">
        <v>280.6705755</v>
      </c>
      <c r="E33" s="128">
        <v>127.88336715</v>
      </c>
      <c r="F33" s="128">
        <v>33.48673965</v>
      </c>
      <c r="G33" s="128">
        <v>94.1</v>
      </c>
      <c r="H33" s="128">
        <v>3.14</v>
      </c>
      <c r="I33" s="128">
        <f t="shared" si="7"/>
        <v>225.12336715</v>
      </c>
      <c r="J33" s="128">
        <f t="shared" si="8"/>
        <v>-55.54720835</v>
      </c>
      <c r="K33" s="128">
        <v>-57.41031475</v>
      </c>
      <c r="L33" s="128">
        <f t="shared" si="5"/>
        <v>1.86310639999999</v>
      </c>
      <c r="M33" s="131"/>
    </row>
    <row r="34" customHeight="1" spans="1:13">
      <c r="A34" s="127" t="s">
        <v>4</v>
      </c>
      <c r="B34" s="128">
        <v>2093.8022343</v>
      </c>
      <c r="C34" s="128">
        <v>2112.03975675</v>
      </c>
      <c r="D34" s="128">
        <v>2112.03975675</v>
      </c>
      <c r="E34" s="128">
        <v>795.00725535</v>
      </c>
      <c r="F34" s="128">
        <v>-3.54857474999994</v>
      </c>
      <c r="G34" s="128">
        <v>720</v>
      </c>
      <c r="H34" s="128">
        <v>375</v>
      </c>
      <c r="I34" s="128">
        <f t="shared" si="7"/>
        <v>1890.00725535</v>
      </c>
      <c r="J34" s="132">
        <f t="shared" si="8"/>
        <v>-222.0325014</v>
      </c>
      <c r="K34" s="128">
        <v>-218.24542335</v>
      </c>
      <c r="L34" s="133">
        <f t="shared" si="5"/>
        <v>-3.78707804999999</v>
      </c>
      <c r="M34" s="131" t="s">
        <v>113</v>
      </c>
    </row>
    <row r="35" customHeight="1" spans="1:13">
      <c r="A35" s="135" t="s">
        <v>111</v>
      </c>
      <c r="B35" s="136">
        <f t="shared" ref="B35:K35" si="9">SUM(B29:B34)</f>
        <v>3133.3199667</v>
      </c>
      <c r="C35" s="136">
        <f t="shared" si="9"/>
        <v>2912.2256961</v>
      </c>
      <c r="D35" s="136">
        <f t="shared" si="9"/>
        <v>3151.55748915</v>
      </c>
      <c r="E35" s="136">
        <f t="shared" si="9"/>
        <v>1278.1011978</v>
      </c>
      <c r="F35" s="136">
        <f t="shared" si="9"/>
        <v>80.3706960000001</v>
      </c>
      <c r="G35" s="136">
        <f t="shared" si="9"/>
        <v>1058.5114172</v>
      </c>
      <c r="H35" s="136">
        <f t="shared" si="9"/>
        <v>406.58</v>
      </c>
      <c r="I35" s="136">
        <f t="shared" si="9"/>
        <v>2743.192615</v>
      </c>
      <c r="J35" s="136">
        <f t="shared" si="9"/>
        <v>-408.36487415</v>
      </c>
      <c r="K35" s="136">
        <f t="shared" si="9"/>
        <v>-423.6532381501</v>
      </c>
      <c r="L35" s="136">
        <f t="shared" si="5"/>
        <v>15.2883640001</v>
      </c>
      <c r="M35" s="137"/>
    </row>
    <row r="36" customHeight="1" spans="1:13">
      <c r="A36" s="135" t="s">
        <v>85</v>
      </c>
      <c r="B36" s="136">
        <f t="shared" ref="B36:K36" si="10">B28+B35</f>
        <v>7772.5857803043</v>
      </c>
      <c r="C36" s="136">
        <f t="shared" si="10"/>
        <v>7256.22109065</v>
      </c>
      <c r="D36" s="136">
        <f t="shared" si="10"/>
        <v>7837.3315806543</v>
      </c>
      <c r="E36" s="136">
        <f t="shared" si="10"/>
        <v>3117.21225375</v>
      </c>
      <c r="F36" s="136">
        <f t="shared" si="10"/>
        <v>35.9566768784999</v>
      </c>
      <c r="G36" s="136">
        <f t="shared" si="10"/>
        <v>2707.3513062</v>
      </c>
      <c r="H36" s="136">
        <f t="shared" si="10"/>
        <v>923.26337757</v>
      </c>
      <c r="I36" s="136">
        <f t="shared" si="10"/>
        <v>6747.82693752</v>
      </c>
      <c r="J36" s="136">
        <f t="shared" si="10"/>
        <v>-1089.5046431343</v>
      </c>
      <c r="K36" s="136">
        <f t="shared" si="10"/>
        <v>-1201.05745071224</v>
      </c>
      <c r="L36" s="136">
        <f t="shared" si="5"/>
        <v>111.552807577935</v>
      </c>
      <c r="M36" s="137"/>
    </row>
    <row r="40" customHeight="1" spans="1:13">
      <c r="A40" s="126" t="s">
        <v>79</v>
      </c>
      <c r="B40" s="126" t="s">
        <v>96</v>
      </c>
      <c r="C40" s="126" t="s">
        <v>103</v>
      </c>
      <c r="D40" s="126" t="s">
        <v>104</v>
      </c>
      <c r="E40" s="126" t="s">
        <v>106</v>
      </c>
      <c r="F40" s="138" t="s">
        <v>105</v>
      </c>
    </row>
    <row r="41" customHeight="1" spans="1:13">
      <c r="A41" s="127" t="s">
        <v>4</v>
      </c>
      <c r="B41" s="128">
        <f>VLOOKUP($A41,$A$21:$J$34,5,0)</f>
        <v>795.00725535</v>
      </c>
      <c r="C41" s="128">
        <f>VLOOKUP($A41,$A$21:$J$34,7,0)</f>
        <v>720</v>
      </c>
      <c r="D41" s="128">
        <f>VLOOKUP($A41,$A$21:$J$34,8,0)</f>
        <v>375</v>
      </c>
      <c r="E41" s="128">
        <f>IF(J21&lt;0,VLOOKUP($A41,$A$21:$J$34,10,0)*(-1),VLOOKUP($A41,$A$21:$J$34,10,0))</f>
        <v>-222.0325014</v>
      </c>
      <c r="F41" s="139">
        <f>B41+C41+D41</f>
        <v>1890.00725535</v>
      </c>
    </row>
    <row r="42" customHeight="1" spans="1:13">
      <c r="A42" s="134" t="s">
        <v>2</v>
      </c>
      <c r="B42" s="128">
        <f>VLOOKUP($A42,$A$21:$J$34,5,0)</f>
        <v>595.0289436</v>
      </c>
      <c r="C42" s="128">
        <f>VLOOKUP($A42,$A$21:$J$34,5,0)</f>
        <v>595.0289436</v>
      </c>
      <c r="D42" s="128">
        <f>VLOOKUP($A42,$A$21:$J$34,5,0)</f>
        <v>595.0289436</v>
      </c>
      <c r="E42" s="128">
        <f>IF(J22&lt;0,VLOOKUP($A42,$A$21:$J$34,10,0)*(-1),VLOOKUP($A42,$A$21:$J$34,10,0))</f>
        <v>207.9375148015</v>
      </c>
      <c r="F42" s="139">
        <f>B42+C42+D42</f>
        <v>1785.0868308</v>
      </c>
    </row>
    <row r="43" customHeight="1" spans="1:13">
      <c r="A43" s="127" t="s">
        <v>3</v>
      </c>
      <c r="B43" s="128">
        <f>VLOOKUP($A43,$A$21:$J$34,5,0)</f>
        <v>394.5054687</v>
      </c>
      <c r="C43" s="128">
        <f>VLOOKUP($A43,$A$21:$J$34,5,0)</f>
        <v>394.5054687</v>
      </c>
      <c r="D43" s="128">
        <f>VLOOKUP($A43,$A$21:$J$34,5,0)</f>
        <v>394.5054687</v>
      </c>
      <c r="E43" s="128">
        <f>IF(J23&lt;0,VLOOKUP($A43,$A$21:$J$34,10,0)*(-1),VLOOKUP($A43,$A$21:$J$34,10,0))</f>
        <v>148.80173545</v>
      </c>
      <c r="F43" s="139">
        <f>B43+C43+D43</f>
        <v>1183.5164061</v>
      </c>
    </row>
    <row r="44" customHeight="1" spans="1:13">
      <c r="A44" s="127" t="s">
        <v>6</v>
      </c>
      <c r="B44" s="128">
        <f>VLOOKUP($A44,$A$21:$J$34,5,0)</f>
        <v>222.49288005</v>
      </c>
      <c r="C44" s="128">
        <f>VLOOKUP($A44,$A$21:$J$34,5,0)</f>
        <v>222.49288005</v>
      </c>
      <c r="D44" s="128">
        <f>VLOOKUP($A44,$A$21:$J$34,5,0)</f>
        <v>222.49288005</v>
      </c>
      <c r="E44" s="128">
        <f>IF(J24&lt;0,VLOOKUP($A44,$A$21:$J$34,10,0)*(-1),VLOOKUP($A44,$A$21:$J$34,10,0))</f>
        <v>131.9462942</v>
      </c>
      <c r="F44" s="139">
        <f>B44+C44+D44</f>
        <v>667.47864015</v>
      </c>
    </row>
    <row r="45" customHeight="1" spans="1:13">
      <c r="A45" s="127" t="s">
        <v>5</v>
      </c>
      <c r="B45" s="128">
        <f>VLOOKUP($A45,$A$21:$J$34,5,0)</f>
        <v>220.90802895</v>
      </c>
      <c r="C45" s="128">
        <f>VLOOKUP($A45,$A$21:$J$34,5,0)</f>
        <v>220.90802895</v>
      </c>
      <c r="D45" s="128">
        <f>VLOOKUP($A45,$A$21:$J$34,5,0)</f>
        <v>220.90802895</v>
      </c>
      <c r="E45" s="128">
        <f>IF(J25&lt;0,VLOOKUP($A45,$A$21:$J$34,10,0)*(-1),VLOOKUP($A45,$A$21:$J$34,10,0))</f>
        <v>126.059793</v>
      </c>
      <c r="F45" s="139">
        <f>B45+C45+D45</f>
        <v>662.72408685</v>
      </c>
    </row>
    <row r="46" customHeight="1" spans="1:13">
      <c r="A46" s="127" t="s">
        <v>8</v>
      </c>
      <c r="B46" s="128">
        <f>VLOOKUP($A46,$A$21:$J$34,5,0)</f>
        <v>202.32602145</v>
      </c>
      <c r="C46" s="128">
        <f>VLOOKUP($A46,$A$21:$J$34,5,0)</f>
        <v>202.32602145</v>
      </c>
      <c r="D46" s="128">
        <f>VLOOKUP($A46,$A$21:$J$34,5,0)</f>
        <v>202.32602145</v>
      </c>
      <c r="E46" s="128">
        <f>IF(J26&lt;0,VLOOKUP($A46,$A$21:$J$34,10,0)*(-1),VLOOKUP($A46,$A$21:$J$34,10,0))</f>
        <v>48.63467005</v>
      </c>
      <c r="F46" s="139">
        <f>B46+C46+D46</f>
        <v>606.97806435</v>
      </c>
    </row>
    <row r="47" customHeight="1" spans="1:13">
      <c r="A47" s="127" t="s">
        <v>11</v>
      </c>
      <c r="B47" s="128">
        <f>VLOOKUP($A47,$A$21:$J$34,5,0)</f>
        <v>195.13466175</v>
      </c>
      <c r="C47" s="128">
        <f>VLOOKUP($A47,$A$21:$J$34,5,0)</f>
        <v>195.13466175</v>
      </c>
      <c r="D47" s="128">
        <f>VLOOKUP($A47,$A$21:$J$34,5,0)</f>
        <v>195.13466175</v>
      </c>
      <c r="E47" s="128">
        <f>IF(J27&lt;0,VLOOKUP($A47,$A$21:$J$34,10,0)*(-1),VLOOKUP($A47,$A$21:$J$34,10,0))</f>
        <v>17.891171282804</v>
      </c>
      <c r="F47" s="139">
        <f>B47+C47+D47</f>
        <v>585.40398525</v>
      </c>
    </row>
    <row r="48" customHeight="1" spans="1:13">
      <c r="A48" s="127" t="s">
        <v>10</v>
      </c>
      <c r="B48" s="128">
        <f>VLOOKUP($A48,$A$21:$J$34,5,0)</f>
        <v>136.09905645</v>
      </c>
      <c r="C48" s="128">
        <f>VLOOKUP($A48,$A$21:$J$34,5,0)</f>
        <v>136.09905645</v>
      </c>
      <c r="D48" s="128">
        <f>VLOOKUP($A48,$A$21:$J$34,5,0)</f>
        <v>136.09905645</v>
      </c>
      <c r="E48" s="128">
        <f>IF(J28&lt;0,VLOOKUP($A48,$A$21:$J$34,10,0)*(-1),VLOOKUP($A48,$A$21:$J$34,10,0))</f>
        <v>53.44422275</v>
      </c>
      <c r="F48" s="139">
        <f>B48+C48+D48</f>
        <v>408.29716935</v>
      </c>
    </row>
    <row r="49" customHeight="1" spans="1:6">
      <c r="A49" s="127" t="s">
        <v>13</v>
      </c>
      <c r="B49" s="128">
        <f>VLOOKUP($A49,$A$21:$J$34,5,0)</f>
        <v>127.88336715</v>
      </c>
      <c r="C49" s="128">
        <f>VLOOKUP($A49,$A$21:$J$34,5,0)</f>
        <v>127.88336715</v>
      </c>
      <c r="D49" s="128">
        <f>VLOOKUP($A49,$A$21:$J$34,5,0)</f>
        <v>127.88336715</v>
      </c>
      <c r="E49" s="128">
        <f>IF(J29&lt;0,VLOOKUP($A49,$A$21:$J$34,10,0)*(-1),VLOOKUP($A49,$A$21:$J$34,10,0))</f>
        <v>55.54720835</v>
      </c>
      <c r="F49" s="139">
        <f>B49+C49+D49</f>
        <v>383.65010145</v>
      </c>
    </row>
    <row r="50" customHeight="1" spans="1:6">
      <c r="A50" s="127" t="s">
        <v>7</v>
      </c>
      <c r="B50" s="128">
        <f>VLOOKUP($A50,$A$21:$J$34,5,0)</f>
        <v>84.0047208</v>
      </c>
      <c r="C50" s="128">
        <f>VLOOKUP($A50,$A$21:$J$34,5,0)</f>
        <v>84.0047208</v>
      </c>
      <c r="D50" s="128">
        <f>VLOOKUP($A50,$A$21:$J$34,5,0)</f>
        <v>84.0047208</v>
      </c>
      <c r="E50" s="128">
        <f>IF(J30&lt;0,VLOOKUP($A50,$A$21:$J$34,10,0)*(-1),VLOOKUP($A50,$A$21:$J$34,10,0))</f>
        <v>4.60531015000001</v>
      </c>
      <c r="F50" s="139">
        <f>B50+C50+D50</f>
        <v>252.0141624</v>
      </c>
    </row>
    <row r="51" customHeight="1" spans="1:6">
      <c r="A51" s="127" t="s">
        <v>12</v>
      </c>
      <c r="B51" s="128">
        <f>VLOOKUP($A51,$A$21:$J$34,5,0)</f>
        <v>74.5564155</v>
      </c>
      <c r="C51" s="128">
        <f>VLOOKUP($A51,$A$21:$J$34,5,0)</f>
        <v>74.5564155</v>
      </c>
      <c r="D51" s="128">
        <f>VLOOKUP($A51,$A$21:$J$34,5,0)</f>
        <v>74.5564155</v>
      </c>
      <c r="E51" s="128">
        <f>IF(J31&lt;0,VLOOKUP($A51,$A$21:$J$34,10,0)*(-1),VLOOKUP($A51,$A$21:$J$34,10,0))</f>
        <v>25.9545272</v>
      </c>
      <c r="F51" s="139">
        <f>B51+C51+D51</f>
        <v>223.6692465</v>
      </c>
    </row>
    <row r="52" customHeight="1" spans="1:6">
      <c r="A52" s="127" t="s">
        <v>9</v>
      </c>
      <c r="B52" s="128">
        <f>VLOOKUP($A52,$A$21:$J$34,5,0)</f>
        <v>60.55038255</v>
      </c>
      <c r="C52" s="128">
        <f>VLOOKUP($A52,$A$21:$J$34,5,0)</f>
        <v>60.55038255</v>
      </c>
      <c r="D52" s="128">
        <f>VLOOKUP($A52,$A$21:$J$34,5,0)</f>
        <v>60.55038255</v>
      </c>
      <c r="E52" s="128">
        <f>IF(J32&lt;0,VLOOKUP($A52,$A$21:$J$34,10,0)*(-1),VLOOKUP($A52,$A$21:$J$34,10,0))</f>
        <v>46.7811043</v>
      </c>
      <c r="F52" s="139">
        <f>B52+C52+D52</f>
        <v>181.65114765</v>
      </c>
    </row>
    <row r="53" customHeight="1" spans="1:6">
      <c r="A53" s="127" t="s">
        <v>14</v>
      </c>
      <c r="B53" s="128">
        <f>VLOOKUP($A53,$A$21:$J$34,5,0)</f>
        <v>8.71505145</v>
      </c>
      <c r="C53" s="128">
        <f>VLOOKUP($A53,$A$21:$J$34,5,0)</f>
        <v>8.71505145</v>
      </c>
      <c r="D53" s="128">
        <f>VLOOKUP($A53,$A$21:$J$34,5,0)</f>
        <v>8.71505145</v>
      </c>
      <c r="E53" s="128">
        <f>IF(J33&lt;0,VLOOKUP($A53,$A$21:$J$34,10,0)*(-1),VLOOKUP($A53,$A$21:$J$34,10,0))</f>
        <v>-0.1314098</v>
      </c>
      <c r="F53" s="139">
        <f>B53+C53+D53</f>
        <v>26.14515435</v>
      </c>
    </row>
    <row r="54" customHeight="1" spans="1:6">
      <c r="A54" s="127" t="s">
        <v>85</v>
      </c>
      <c r="B54" s="128">
        <f>SUM(B41:B53)</f>
        <v>3117.21225375</v>
      </c>
      <c r="C54" s="128">
        <f>SUM(C41:C53)</f>
        <v>3042.2049984</v>
      </c>
      <c r="D54" s="128">
        <f>SUM(D41:D53)</f>
        <v>2697.2049984</v>
      </c>
      <c r="E54" s="128">
        <f>SUM(E41:E53)</f>
        <v>645.439640334304</v>
      </c>
      <c r="F54" s="139">
        <f>SUM(F41:F53)</f>
        <v>8856.62225055</v>
      </c>
    </row>
  </sheetData>
  <sortState ref="A41:F53">
    <sortCondition ref="F53" descending="1"/>
  </sortState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4"/>
  <sheetViews>
    <sheetView workbookViewId="0">
      <selection activeCell="J4" sqref="J4"/>
    </sheetView>
  </sheetViews>
  <sheetFormatPr defaultColWidth="9" defaultRowHeight="16.5"/>
  <cols>
    <col min="1" max="6" width="16.75" style="55" customWidth="1"/>
    <col min="7" max="13" width="9" style="55"/>
    <col min="14" max="14" width="13.75" style="55"/>
    <col min="15" max="16384" width="9" style="55"/>
  </cols>
  <sheetData>
    <row r="2" ht="21" customHeight="1" spans="1:14">
      <c r="A2" s="70" t="s">
        <v>114</v>
      </c>
      <c r="B2" s="70"/>
      <c r="C2" s="70"/>
      <c r="D2" s="70"/>
      <c r="E2" s="70"/>
      <c r="F2" s="70"/>
    </row>
    <row r="3" ht="20" customHeight="1" spans="1:14">
      <c r="A3" s="99" t="s">
        <v>79</v>
      </c>
      <c r="B3" s="99" t="s">
        <v>115</v>
      </c>
      <c r="C3" s="99" t="s">
        <v>116</v>
      </c>
      <c r="D3" s="100" t="s">
        <v>117</v>
      </c>
      <c r="E3" s="99" t="s">
        <v>118</v>
      </c>
      <c r="F3" s="99" t="s">
        <v>119</v>
      </c>
      <c r="H3" s="30" t="s">
        <v>79</v>
      </c>
      <c r="I3" s="30" t="s">
        <v>120</v>
      </c>
      <c r="J3" s="30" t="s">
        <v>80</v>
      </c>
      <c r="K3" s="30" t="s">
        <v>81</v>
      </c>
      <c r="L3" s="54"/>
      <c r="M3" s="101"/>
    </row>
    <row r="4" ht="20" customHeight="1" spans="1:14">
      <c r="A4" s="102" t="s">
        <v>13</v>
      </c>
      <c r="B4" s="103"/>
      <c r="C4" s="103"/>
      <c r="D4" s="104"/>
      <c r="E4" s="103"/>
      <c r="F4" s="103"/>
      <c r="H4" s="102" t="s">
        <v>13</v>
      </c>
      <c r="I4" s="35">
        <f>D4</f>
        <v>0</v>
      </c>
      <c r="J4" s="36">
        <f>ROUND(IF(I4=92%,100,IF(I4&gt;92%,100+(I4-92%)/1%*5,IF(AND(I4&gt;82%,I4&lt;92%),100-(92%-I4)/1%*3,70))),1)</f>
        <v>70</v>
      </c>
      <c r="K4" s="105">
        <f>ROUND(J4*0.25,1)</f>
        <v>17.5</v>
      </c>
      <c r="L4" s="54"/>
      <c r="M4" s="50"/>
      <c r="N4" s="106"/>
    </row>
    <row r="5" ht="20" customHeight="1" spans="1:14">
      <c r="A5" s="102" t="s">
        <v>8</v>
      </c>
      <c r="B5" s="103"/>
      <c r="C5" s="103"/>
      <c r="D5" s="104"/>
      <c r="E5" s="103"/>
      <c r="F5" s="103"/>
      <c r="H5" s="102" t="s">
        <v>8</v>
      </c>
      <c r="I5" s="35">
        <f t="shared" ref="I5:I17" si="0">D5</f>
        <v>0</v>
      </c>
      <c r="J5" s="36">
        <f>ROUND(IF(I5=92%,100,IF(I5&gt;92%,100+(I5-92%)/1%*5,IF(AND(I5&gt;82%,I5&lt;92%),100-(92%-I5)/1%*3,70))),1)</f>
        <v>70</v>
      </c>
      <c r="K5" s="105">
        <f>ROUND(J5*0.25,1)</f>
        <v>17.5</v>
      </c>
      <c r="L5" s="54"/>
      <c r="M5" s="50"/>
      <c r="N5" s="106"/>
    </row>
    <row r="6" ht="20" customHeight="1" spans="1:14">
      <c r="A6" s="102" t="s">
        <v>2</v>
      </c>
      <c r="B6" s="103"/>
      <c r="C6" s="103"/>
      <c r="D6" s="104"/>
      <c r="E6" s="103"/>
      <c r="F6" s="103"/>
      <c r="H6" s="102" t="s">
        <v>2</v>
      </c>
      <c r="I6" s="35">
        <f t="shared" si="0"/>
        <v>0</v>
      </c>
      <c r="J6" s="36">
        <f t="shared" ref="J5:J17" si="1">ROUND(IF(I6=92%,100,IF(I6&gt;92%,100+(I6-92%)/1%*5,IF(AND(I6&gt;82%,I6&lt;92%),100-(92%-I6)/1%*3,70))),1)</f>
        <v>70</v>
      </c>
      <c r="K6" s="105">
        <f t="shared" ref="K5:K17" si="2">ROUND(J6*0.25,1)</f>
        <v>17.5</v>
      </c>
      <c r="L6" s="54"/>
      <c r="M6" s="50"/>
      <c r="N6" s="106"/>
    </row>
    <row r="7" ht="20" customHeight="1" spans="1:14">
      <c r="A7" s="102" t="s">
        <v>5</v>
      </c>
      <c r="B7" s="103"/>
      <c r="C7" s="103"/>
      <c r="D7" s="104"/>
      <c r="E7" s="103"/>
      <c r="F7" s="103"/>
      <c r="H7" s="102" t="s">
        <v>5</v>
      </c>
      <c r="I7" s="35">
        <f t="shared" si="0"/>
        <v>0</v>
      </c>
      <c r="J7" s="36">
        <f t="shared" si="1"/>
        <v>70</v>
      </c>
      <c r="K7" s="105">
        <f t="shared" si="2"/>
        <v>17.5</v>
      </c>
      <c r="L7" s="54"/>
      <c r="M7" s="50"/>
      <c r="N7" s="106"/>
    </row>
    <row r="8" ht="20" customHeight="1" spans="1:14">
      <c r="A8" s="102" t="s">
        <v>14</v>
      </c>
      <c r="B8" s="103"/>
      <c r="C8" s="103"/>
      <c r="D8" s="104"/>
      <c r="E8" s="103"/>
      <c r="F8" s="103"/>
      <c r="H8" s="102" t="s">
        <v>14</v>
      </c>
      <c r="I8" s="35">
        <f t="shared" si="0"/>
        <v>0</v>
      </c>
      <c r="J8" s="36">
        <f t="shared" si="1"/>
        <v>70</v>
      </c>
      <c r="K8" s="105">
        <f t="shared" si="2"/>
        <v>17.5</v>
      </c>
      <c r="L8" s="54"/>
      <c r="M8" s="50"/>
      <c r="N8" s="106"/>
    </row>
    <row r="9" ht="20" customHeight="1" spans="1:14">
      <c r="A9" s="102" t="s">
        <v>3</v>
      </c>
      <c r="B9" s="103"/>
      <c r="C9" s="103"/>
      <c r="D9" s="104"/>
      <c r="E9" s="103"/>
      <c r="F9" s="103"/>
      <c r="H9" s="102" t="s">
        <v>3</v>
      </c>
      <c r="I9" s="35">
        <f t="shared" si="0"/>
        <v>0</v>
      </c>
      <c r="J9" s="36">
        <f t="shared" si="1"/>
        <v>70</v>
      </c>
      <c r="K9" s="105">
        <f t="shared" si="2"/>
        <v>17.5</v>
      </c>
      <c r="L9" s="54"/>
      <c r="M9" s="50"/>
      <c r="N9" s="106"/>
    </row>
    <row r="10" ht="20" customHeight="1" spans="1:14">
      <c r="A10" s="102" t="s">
        <v>4</v>
      </c>
      <c r="B10" s="103"/>
      <c r="C10" s="103"/>
      <c r="D10" s="104"/>
      <c r="E10" s="103"/>
      <c r="F10" s="103"/>
      <c r="H10" s="102" t="s">
        <v>4</v>
      </c>
      <c r="I10" s="35">
        <f t="shared" si="0"/>
        <v>0</v>
      </c>
      <c r="J10" s="36">
        <f t="shared" si="1"/>
        <v>70</v>
      </c>
      <c r="K10" s="105">
        <f t="shared" si="2"/>
        <v>17.5</v>
      </c>
      <c r="L10" s="54"/>
      <c r="M10" s="50"/>
      <c r="N10" s="106"/>
    </row>
    <row r="11" ht="20" customHeight="1" spans="1:14">
      <c r="A11" s="102" t="s">
        <v>10</v>
      </c>
      <c r="B11" s="103"/>
      <c r="C11" s="103"/>
      <c r="D11" s="104"/>
      <c r="E11" s="103"/>
      <c r="F11" s="103"/>
      <c r="H11" s="102" t="s">
        <v>10</v>
      </c>
      <c r="I11" s="35">
        <f t="shared" si="0"/>
        <v>0</v>
      </c>
      <c r="J11" s="36">
        <f t="shared" si="1"/>
        <v>70</v>
      </c>
      <c r="K11" s="105">
        <f t="shared" si="2"/>
        <v>17.5</v>
      </c>
      <c r="L11" s="54"/>
      <c r="M11" s="50"/>
      <c r="N11" s="106"/>
    </row>
    <row r="12" ht="20" customHeight="1" spans="1:14">
      <c r="A12" s="102" t="s">
        <v>9</v>
      </c>
      <c r="B12" s="103"/>
      <c r="C12" s="103"/>
      <c r="D12" s="104"/>
      <c r="E12" s="103"/>
      <c r="F12" s="103"/>
      <c r="H12" s="102" t="s">
        <v>9</v>
      </c>
      <c r="I12" s="35">
        <f t="shared" si="0"/>
        <v>0</v>
      </c>
      <c r="J12" s="36">
        <f t="shared" si="1"/>
        <v>70</v>
      </c>
      <c r="K12" s="105">
        <f t="shared" si="2"/>
        <v>17.5</v>
      </c>
      <c r="L12" s="54"/>
      <c r="M12" s="50"/>
      <c r="N12" s="106"/>
    </row>
    <row r="13" ht="20" customHeight="1" spans="1:14">
      <c r="A13" s="102" t="s">
        <v>7</v>
      </c>
      <c r="B13" s="103"/>
      <c r="C13" s="103"/>
      <c r="D13" s="104"/>
      <c r="E13" s="103"/>
      <c r="F13" s="103"/>
      <c r="H13" s="102" t="s">
        <v>7</v>
      </c>
      <c r="I13" s="35">
        <f t="shared" si="0"/>
        <v>0</v>
      </c>
      <c r="J13" s="36">
        <f t="shared" si="1"/>
        <v>70</v>
      </c>
      <c r="K13" s="105">
        <f t="shared" si="2"/>
        <v>17.5</v>
      </c>
      <c r="L13" s="54"/>
      <c r="M13" s="50"/>
      <c r="N13" s="106"/>
    </row>
    <row r="14" ht="20" customHeight="1" spans="1:14">
      <c r="A14" s="102" t="s">
        <v>11</v>
      </c>
      <c r="B14" s="103"/>
      <c r="C14" s="103"/>
      <c r="D14" s="104"/>
      <c r="E14" s="103"/>
      <c r="F14" s="103"/>
      <c r="H14" s="102" t="s">
        <v>11</v>
      </c>
      <c r="I14" s="35">
        <f t="shared" si="0"/>
        <v>0</v>
      </c>
      <c r="J14" s="36">
        <f t="shared" si="1"/>
        <v>70</v>
      </c>
      <c r="K14" s="105">
        <f t="shared" si="2"/>
        <v>17.5</v>
      </c>
      <c r="L14" s="54"/>
      <c r="M14" s="50"/>
      <c r="N14" s="106"/>
    </row>
    <row r="15" ht="20" customHeight="1" spans="1:14">
      <c r="A15" s="102" t="s">
        <v>12</v>
      </c>
      <c r="B15" s="103"/>
      <c r="C15" s="103"/>
      <c r="D15" s="104"/>
      <c r="E15" s="103"/>
      <c r="F15" s="103"/>
      <c r="H15" s="102" t="s">
        <v>12</v>
      </c>
      <c r="I15" s="35">
        <f t="shared" si="0"/>
        <v>0</v>
      </c>
      <c r="J15" s="36">
        <f t="shared" si="1"/>
        <v>70</v>
      </c>
      <c r="K15" s="105">
        <f t="shared" si="2"/>
        <v>17.5</v>
      </c>
      <c r="L15" s="54"/>
      <c r="M15" s="50"/>
      <c r="N15" s="106"/>
    </row>
    <row r="16" ht="20" customHeight="1" spans="1:14">
      <c r="A16" s="102" t="s">
        <v>6</v>
      </c>
      <c r="B16" s="103"/>
      <c r="C16" s="103"/>
      <c r="D16" s="104"/>
      <c r="E16" s="103"/>
      <c r="F16" s="103"/>
      <c r="H16" s="102" t="s">
        <v>6</v>
      </c>
      <c r="I16" s="35">
        <f t="shared" si="0"/>
        <v>0</v>
      </c>
      <c r="J16" s="36">
        <f t="shared" si="1"/>
        <v>70</v>
      </c>
      <c r="K16" s="105">
        <f t="shared" si="2"/>
        <v>17.5</v>
      </c>
      <c r="L16" s="54"/>
      <c r="M16" s="50"/>
      <c r="N16" s="106"/>
    </row>
    <row r="17" ht="20" customHeight="1" spans="1:14">
      <c r="A17" s="30" t="s">
        <v>85</v>
      </c>
      <c r="B17" s="107"/>
      <c r="C17" s="107"/>
      <c r="D17" s="108"/>
      <c r="E17" s="107"/>
      <c r="F17" s="107"/>
      <c r="H17" s="102" t="s">
        <v>85</v>
      </c>
      <c r="I17" s="35">
        <f t="shared" si="0"/>
        <v>0</v>
      </c>
      <c r="J17" s="36">
        <f t="shared" si="1"/>
        <v>70</v>
      </c>
      <c r="K17" s="105">
        <f t="shared" si="2"/>
        <v>17.5</v>
      </c>
      <c r="L17" s="54"/>
      <c r="M17" s="50"/>
      <c r="N17" s="106"/>
    </row>
    <row r="20" s="55" customFormat="1" spans="1:14">
      <c r="A20" s="109" t="s">
        <v>79</v>
      </c>
      <c r="B20" s="109" t="s">
        <v>121</v>
      </c>
      <c r="C20" s="110" t="s">
        <v>122</v>
      </c>
      <c r="D20" s="109" t="s">
        <v>123</v>
      </c>
      <c r="E20" s="109" t="s">
        <v>124</v>
      </c>
    </row>
    <row r="21" spans="1:14">
      <c r="A21" s="111" t="s">
        <v>11</v>
      </c>
      <c r="B21" s="111"/>
      <c r="C21" s="111"/>
      <c r="D21" s="111"/>
      <c r="E21" s="111"/>
    </row>
    <row r="22" spans="1:14">
      <c r="A22" s="111" t="s">
        <v>8</v>
      </c>
      <c r="B22" s="111"/>
      <c r="C22" s="111"/>
      <c r="D22" s="111"/>
      <c r="E22" s="111"/>
    </row>
    <row r="23" spans="1:14">
      <c r="A23" s="111" t="s">
        <v>3</v>
      </c>
      <c r="B23" s="111"/>
      <c r="C23" s="111"/>
      <c r="D23" s="111"/>
      <c r="E23" s="111"/>
    </row>
    <row r="24" spans="1:14">
      <c r="A24" s="111" t="s">
        <v>5</v>
      </c>
      <c r="B24" s="111"/>
      <c r="C24" s="111"/>
      <c r="D24" s="111"/>
      <c r="E24" s="111"/>
    </row>
    <row r="25" spans="1:14">
      <c r="A25" s="111" t="s">
        <v>9</v>
      </c>
      <c r="B25" s="111"/>
      <c r="C25" s="111"/>
      <c r="D25" s="111"/>
      <c r="E25" s="111"/>
    </row>
    <row r="26" spans="1:14">
      <c r="A26" s="111" t="s">
        <v>10</v>
      </c>
      <c r="B26" s="111"/>
      <c r="C26" s="111"/>
      <c r="D26" s="111"/>
      <c r="E26" s="111"/>
    </row>
    <row r="27" spans="1:14">
      <c r="A27" s="111" t="s">
        <v>4</v>
      </c>
      <c r="B27" s="111"/>
      <c r="C27" s="111"/>
      <c r="D27" s="111"/>
      <c r="E27" s="111"/>
    </row>
    <row r="28" spans="1:14">
      <c r="A28" s="111" t="s">
        <v>6</v>
      </c>
      <c r="B28" s="111"/>
      <c r="C28" s="111"/>
      <c r="D28" s="111"/>
      <c r="E28" s="111"/>
    </row>
    <row r="29" spans="1:14">
      <c r="A29" s="111" t="s">
        <v>13</v>
      </c>
      <c r="B29" s="111"/>
      <c r="C29" s="111"/>
      <c r="D29" s="111"/>
      <c r="E29" s="111"/>
    </row>
    <row r="30" spans="1:14">
      <c r="A30" s="111" t="s">
        <v>2</v>
      </c>
      <c r="B30" s="111"/>
      <c r="C30" s="111"/>
      <c r="D30" s="111"/>
      <c r="E30" s="111"/>
    </row>
    <row r="31" spans="1:14">
      <c r="A31" s="111" t="s">
        <v>7</v>
      </c>
      <c r="B31" s="111"/>
      <c r="C31" s="111"/>
      <c r="D31" s="111"/>
      <c r="E31" s="111"/>
    </row>
    <row r="32" spans="1:14">
      <c r="A32" s="111" t="s">
        <v>14</v>
      </c>
      <c r="B32" s="111"/>
      <c r="C32" s="111"/>
      <c r="D32" s="111"/>
      <c r="E32" s="111"/>
    </row>
    <row r="33" spans="1:5">
      <c r="A33" s="111" t="s">
        <v>12</v>
      </c>
      <c r="B33" s="111"/>
      <c r="C33" s="111"/>
      <c r="D33" s="111"/>
      <c r="E33" s="111"/>
    </row>
    <row r="34" spans="1:5">
      <c r="A34" s="111" t="s">
        <v>125</v>
      </c>
      <c r="B34" s="111"/>
      <c r="C34" s="111"/>
      <c r="D34" s="111"/>
      <c r="E34" s="111"/>
    </row>
  </sheetData>
  <sortState ref="A21:E33">
    <sortCondition ref="D21:D33"/>
  </sortState>
  <mergeCells count="1">
    <mergeCell ref="A2:F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2:V130"/>
  <sheetViews>
    <sheetView zoomScale="85" zoomScaleNormal="85" workbookViewId="0">
      <selection activeCell="V38" sqref="V38"/>
    </sheetView>
  </sheetViews>
  <sheetFormatPr defaultColWidth="10.5833333333333" defaultRowHeight="16.5"/>
  <cols>
    <col min="1" max="20" width="10.5833333333333" style="23" customWidth="1"/>
    <col min="21" max="21" width="10.5833333333333" style="71" customWidth="1"/>
    <col min="22" max="16384" width="10.5833333333333" style="23" customWidth="1"/>
  </cols>
  <sheetData>
    <row r="2" spans="1:21">
      <c r="A2" s="72" t="s">
        <v>126</v>
      </c>
    </row>
    <row r="3" spans="1:21">
      <c r="A3" s="22" t="s">
        <v>127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21">
      <c r="A4" s="25" t="s">
        <v>79</v>
      </c>
      <c r="B4" s="25" t="s">
        <v>128</v>
      </c>
      <c r="C4" s="25" t="s">
        <v>129</v>
      </c>
      <c r="D4" s="25" t="s">
        <v>130</v>
      </c>
      <c r="E4" s="25" t="s">
        <v>131</v>
      </c>
      <c r="F4" s="25" t="s">
        <v>132</v>
      </c>
      <c r="G4" s="25" t="s">
        <v>133</v>
      </c>
      <c r="H4" s="25" t="s">
        <v>134</v>
      </c>
      <c r="I4" s="25" t="s">
        <v>135</v>
      </c>
      <c r="J4" s="25" t="s">
        <v>136</v>
      </c>
      <c r="K4" s="25" t="s">
        <v>137</v>
      </c>
      <c r="L4" s="25" t="s">
        <v>138</v>
      </c>
      <c r="M4" s="25" t="s">
        <v>139</v>
      </c>
      <c r="O4" s="25" t="s">
        <v>79</v>
      </c>
      <c r="P4" s="25" t="s">
        <v>80</v>
      </c>
      <c r="Q4" s="27" t="s">
        <v>81</v>
      </c>
      <c r="S4" s="73" t="s">
        <v>140</v>
      </c>
      <c r="T4" s="73" t="s">
        <v>141</v>
      </c>
    </row>
    <row r="5" spans="1:21">
      <c r="A5" s="25" t="s">
        <v>13</v>
      </c>
      <c r="B5" s="74">
        <v>0.569306930693069</v>
      </c>
      <c r="C5" s="74">
        <v>0.647619047619048</v>
      </c>
      <c r="D5" s="74">
        <v>0.743243243243243</v>
      </c>
      <c r="E5" s="75">
        <v>0.802919708029197</v>
      </c>
      <c r="F5" s="74">
        <v>0.655737704918033</v>
      </c>
      <c r="G5" s="74"/>
      <c r="H5" s="74"/>
      <c r="I5" s="74"/>
      <c r="J5" s="74"/>
      <c r="K5" s="74"/>
      <c r="L5" s="74"/>
      <c r="M5" s="74"/>
      <c r="N5" s="28">
        <f>AVERAGE(B5:M5)</f>
        <v>0.683765326900518</v>
      </c>
      <c r="O5" s="27" t="str">
        <f>A5</f>
        <v>版纳</v>
      </c>
      <c r="P5" s="76">
        <f>(100-COUNTIF(B5:M5,"&lt;0.75")*5)*T5</f>
        <v>80</v>
      </c>
      <c r="Q5" s="77">
        <f>P5*0.1</f>
        <v>8</v>
      </c>
      <c r="S5" s="78">
        <f>N115</f>
        <v>56.1044176706827</v>
      </c>
      <c r="T5" s="79">
        <f>IF(S5&gt;50,1,IF(S5&lt;40,0.9,0.95))</f>
        <v>1</v>
      </c>
      <c r="U5" s="80" t="str">
        <f>IF(S2="","",IF(S2&gt;=50,1,IF(S2&lt;40,0.9,0.95)))</f>
        <v/>
      </c>
    </row>
    <row r="6" spans="1:21">
      <c r="A6" s="25" t="s">
        <v>8</v>
      </c>
      <c r="B6" s="81">
        <v>0.815331010452962</v>
      </c>
      <c r="C6" s="81">
        <v>0.735772357723577</v>
      </c>
      <c r="D6" s="81">
        <v>0.796610169491525</v>
      </c>
      <c r="E6" s="82">
        <v>0.756363636363636</v>
      </c>
      <c r="F6" s="81">
        <v>0.737827715355805</v>
      </c>
      <c r="G6" s="81"/>
      <c r="H6" s="81"/>
      <c r="I6" s="81"/>
      <c r="J6" s="81"/>
      <c r="K6" s="81"/>
      <c r="L6" s="81"/>
      <c r="M6" s="81"/>
      <c r="N6" s="28">
        <f>AVERAGE(B6:M6)</f>
        <v>0.768380977877501</v>
      </c>
      <c r="O6" s="27" t="str">
        <f>A6</f>
        <v>北城</v>
      </c>
      <c r="P6" s="76">
        <f t="shared" ref="P6:P17" si="0">(100-COUNTIF(B6:M6,"&lt;0.75")*5)*T6</f>
        <v>90</v>
      </c>
      <c r="Q6" s="77">
        <f t="shared" ref="Q6:Q17" si="1">P6*0.1</f>
        <v>9</v>
      </c>
      <c r="S6" s="78">
        <f t="shared" ref="S6:S17" si="2">N116</f>
        <v>51.6049382716049</v>
      </c>
      <c r="T6" s="79">
        <f t="shared" ref="T6:T17" si="3">IF(S6&gt;50,1,IF(S6&lt;40,0.9,0.95))</f>
        <v>1</v>
      </c>
    </row>
    <row r="7" spans="1:21">
      <c r="A7" s="25" t="s">
        <v>2</v>
      </c>
      <c r="B7" s="81">
        <v>0.732638888888889</v>
      </c>
      <c r="C7" s="82">
        <v>0.796380090497738</v>
      </c>
      <c r="D7" s="81">
        <v>0.47906976744186</v>
      </c>
      <c r="E7" s="82">
        <v>0.651452282157676</v>
      </c>
      <c r="F7" s="81">
        <v>0.520912547528517</v>
      </c>
      <c r="G7" s="81"/>
      <c r="H7" s="81"/>
      <c r="I7" s="81"/>
      <c r="J7" s="81"/>
      <c r="K7" s="81"/>
      <c r="L7" s="81"/>
      <c r="M7" s="81"/>
      <c r="N7" s="28">
        <f>AVERAGE(B7:M7)</f>
        <v>0.636090715302936</v>
      </c>
      <c r="O7" s="27" t="str">
        <f>A7</f>
        <v>北京</v>
      </c>
      <c r="P7" s="76">
        <f t="shared" si="0"/>
        <v>80</v>
      </c>
      <c r="Q7" s="77">
        <f t="shared" si="1"/>
        <v>8</v>
      </c>
      <c r="S7" s="78">
        <f t="shared" si="2"/>
        <v>60.6405693950178</v>
      </c>
      <c r="T7" s="79">
        <f t="shared" si="3"/>
        <v>1</v>
      </c>
    </row>
    <row r="8" spans="1:21">
      <c r="A8" s="25" t="s">
        <v>5</v>
      </c>
      <c r="B8" s="81">
        <v>0.683127572016461</v>
      </c>
      <c r="C8" s="81">
        <v>0.718978102189781</v>
      </c>
      <c r="D8" s="82">
        <v>0.684410646387833</v>
      </c>
      <c r="E8" s="82">
        <v>0.752688172043011</v>
      </c>
      <c r="F8" s="81">
        <v>0.797101449275362</v>
      </c>
      <c r="G8" s="81"/>
      <c r="H8" s="81"/>
      <c r="I8" s="81"/>
      <c r="J8" s="81"/>
      <c r="K8" s="81"/>
      <c r="L8" s="81"/>
      <c r="M8" s="81"/>
      <c r="N8" s="28">
        <f>AVERAGE(B8:M8)</f>
        <v>0.72726118838249</v>
      </c>
      <c r="O8" s="27" t="str">
        <f>A8</f>
        <v>滨湖</v>
      </c>
      <c r="P8" s="76">
        <f t="shared" si="0"/>
        <v>85</v>
      </c>
      <c r="Q8" s="77">
        <f t="shared" si="1"/>
        <v>8.5</v>
      </c>
      <c r="S8" s="78">
        <f t="shared" si="2"/>
        <v>51.2793176972281</v>
      </c>
      <c r="T8" s="79">
        <f t="shared" si="3"/>
        <v>1</v>
      </c>
    </row>
    <row r="9" spans="1:21">
      <c r="A9" s="25" t="s">
        <v>14</v>
      </c>
      <c r="B9" s="81">
        <v>0.468354430379747</v>
      </c>
      <c r="C9" s="81">
        <v>0.791666666666667</v>
      </c>
      <c r="D9" s="82">
        <v>0.473684210526316</v>
      </c>
      <c r="E9" s="82">
        <v>0.671428571428571</v>
      </c>
      <c r="F9" s="81">
        <v>0.847826086956522</v>
      </c>
      <c r="G9" s="81"/>
      <c r="H9" s="81"/>
      <c r="I9" s="81"/>
      <c r="J9" s="81"/>
      <c r="K9" s="81"/>
      <c r="L9" s="81"/>
      <c r="M9" s="81"/>
      <c r="N9" s="28">
        <f>AVERAGE(B9:M9)</f>
        <v>0.650591993191564</v>
      </c>
      <c r="O9" s="27" t="s">
        <v>14</v>
      </c>
      <c r="P9" s="76">
        <f t="shared" si="0"/>
        <v>80.75</v>
      </c>
      <c r="Q9" s="77">
        <f t="shared" si="1"/>
        <v>8.075</v>
      </c>
      <c r="S9" s="78">
        <f t="shared" si="2"/>
        <v>46.5591397849462</v>
      </c>
      <c r="T9" s="79">
        <f t="shared" si="3"/>
        <v>0.95</v>
      </c>
    </row>
    <row r="10" spans="1:21">
      <c r="A10" s="25" t="s">
        <v>3</v>
      </c>
      <c r="B10" s="81">
        <v>0.824</v>
      </c>
      <c r="C10" s="81">
        <v>0.880239520958084</v>
      </c>
      <c r="D10" s="81">
        <v>0.91219512195122</v>
      </c>
      <c r="E10" s="82">
        <v>0.842105263157895</v>
      </c>
      <c r="F10" s="81">
        <v>0.87109375</v>
      </c>
      <c r="G10" s="81"/>
      <c r="H10" s="81"/>
      <c r="I10" s="81"/>
      <c r="J10" s="81"/>
      <c r="K10" s="81"/>
      <c r="L10" s="81"/>
      <c r="M10" s="81"/>
      <c r="N10" s="28">
        <f t="shared" ref="N10:N18" si="4">AVERAGE(B10:M10)</f>
        <v>0.86592673121344</v>
      </c>
      <c r="O10" s="27" t="str">
        <f t="shared" ref="O10:O17" si="5">A10</f>
        <v>贵阳</v>
      </c>
      <c r="P10" s="76">
        <f t="shared" si="0"/>
        <v>100</v>
      </c>
      <c r="Q10" s="77">
        <f t="shared" si="1"/>
        <v>10</v>
      </c>
      <c r="S10" s="78">
        <f t="shared" si="2"/>
        <v>74.8305084745763</v>
      </c>
      <c r="T10" s="79">
        <f t="shared" si="3"/>
        <v>1</v>
      </c>
    </row>
    <row r="11" spans="1:21">
      <c r="A11" s="25" t="s">
        <v>4</v>
      </c>
      <c r="B11" s="81">
        <v>0.705627705627706</v>
      </c>
      <c r="C11" s="81">
        <v>0.855</v>
      </c>
      <c r="D11" s="81">
        <v>0.894009216589862</v>
      </c>
      <c r="E11" s="82">
        <v>0.911764705882353</v>
      </c>
      <c r="F11" s="81">
        <v>0.836</v>
      </c>
      <c r="G11" s="81"/>
      <c r="H11" s="81"/>
      <c r="I11" s="81"/>
      <c r="J11" s="81"/>
      <c r="K11" s="81"/>
      <c r="L11" s="81"/>
      <c r="M11" s="81"/>
      <c r="N11" s="28">
        <f t="shared" si="4"/>
        <v>0.840480325619984</v>
      </c>
      <c r="O11" s="27" t="str">
        <f t="shared" si="5"/>
        <v>昆明</v>
      </c>
      <c r="P11" s="76">
        <f t="shared" si="0"/>
        <v>95</v>
      </c>
      <c r="Q11" s="77">
        <f t="shared" si="1"/>
        <v>9.5</v>
      </c>
      <c r="S11" s="78">
        <f t="shared" si="2"/>
        <v>75.0485436893204</v>
      </c>
      <c r="T11" s="79">
        <f t="shared" si="3"/>
        <v>1</v>
      </c>
    </row>
    <row r="12" spans="1:21">
      <c r="A12" s="25" t="s">
        <v>10</v>
      </c>
      <c r="B12" s="81">
        <v>0.75</v>
      </c>
      <c r="C12" s="81">
        <v>0.767272727272727</v>
      </c>
      <c r="D12" s="81">
        <v>0.748953974895398</v>
      </c>
      <c r="E12" s="82">
        <v>0.835579514824798</v>
      </c>
      <c r="F12" s="81">
        <v>0.774853801169591</v>
      </c>
      <c r="G12" s="81"/>
      <c r="H12" s="81"/>
      <c r="I12" s="81"/>
      <c r="J12" s="81"/>
      <c r="K12" s="81"/>
      <c r="L12" s="81"/>
      <c r="M12" s="81"/>
      <c r="N12" s="28">
        <f t="shared" si="4"/>
        <v>0.775332003632503</v>
      </c>
      <c r="O12" s="27" t="str">
        <f t="shared" si="5"/>
        <v>连江</v>
      </c>
      <c r="P12" s="76">
        <f t="shared" si="0"/>
        <v>95</v>
      </c>
      <c r="Q12" s="77">
        <f t="shared" si="1"/>
        <v>9.5</v>
      </c>
      <c r="S12" s="78">
        <f t="shared" si="2"/>
        <v>52.545045045045</v>
      </c>
      <c r="T12" s="79">
        <f t="shared" si="3"/>
        <v>1</v>
      </c>
    </row>
    <row r="13" spans="1:21">
      <c r="A13" s="25" t="s">
        <v>9</v>
      </c>
      <c r="B13" s="81">
        <v>0.577689243027888</v>
      </c>
      <c r="C13" s="81">
        <v>0.635135135135135</v>
      </c>
      <c r="D13" s="81">
        <v>0.578313253012048</v>
      </c>
      <c r="E13" s="82">
        <v>0.560655737704918</v>
      </c>
      <c r="F13" s="81">
        <v>0.645756457564576</v>
      </c>
      <c r="G13" s="81"/>
      <c r="H13" s="81"/>
      <c r="I13" s="81"/>
      <c r="J13" s="81"/>
      <c r="K13" s="81"/>
      <c r="L13" s="81"/>
      <c r="M13" s="81"/>
      <c r="N13" s="28">
        <f t="shared" si="4"/>
        <v>0.599509965288913</v>
      </c>
      <c r="O13" s="27" t="str">
        <f t="shared" si="5"/>
        <v>罗源</v>
      </c>
      <c r="P13" s="76">
        <f t="shared" si="0"/>
        <v>67.5</v>
      </c>
      <c r="Q13" s="77">
        <f t="shared" si="1"/>
        <v>6.75</v>
      </c>
      <c r="S13" s="78">
        <f t="shared" si="2"/>
        <v>33.6772486772487</v>
      </c>
      <c r="T13" s="79">
        <f t="shared" si="3"/>
        <v>0.9</v>
      </c>
    </row>
    <row r="14" spans="1:21">
      <c r="A14" s="25" t="s">
        <v>7</v>
      </c>
      <c r="B14" s="81">
        <v>0.779411764705882</v>
      </c>
      <c r="C14" s="81">
        <v>0.826086956521739</v>
      </c>
      <c r="D14" s="81">
        <v>0.830769230769231</v>
      </c>
      <c r="E14" s="82">
        <v>0.816901408450704</v>
      </c>
      <c r="F14" s="81">
        <v>0.826923076923077</v>
      </c>
      <c r="G14" s="81"/>
      <c r="H14" s="81"/>
      <c r="I14" s="81"/>
      <c r="J14" s="81"/>
      <c r="K14" s="81"/>
      <c r="L14" s="81"/>
      <c r="M14" s="81"/>
      <c r="N14" s="28">
        <f t="shared" si="4"/>
        <v>0.816018487474127</v>
      </c>
      <c r="O14" s="27" t="str">
        <f t="shared" si="5"/>
        <v>闽江</v>
      </c>
      <c r="P14" s="76">
        <f t="shared" si="0"/>
        <v>100</v>
      </c>
      <c r="Q14" s="77">
        <f t="shared" si="1"/>
        <v>10</v>
      </c>
      <c r="S14" s="78">
        <f t="shared" si="2"/>
        <v>63.7234042553192</v>
      </c>
      <c r="T14" s="79">
        <f t="shared" si="3"/>
        <v>1</v>
      </c>
    </row>
    <row r="15" spans="1:21">
      <c r="A15" s="25" t="s">
        <v>11</v>
      </c>
      <c r="B15" s="81">
        <v>0.716417910447761</v>
      </c>
      <c r="C15" s="81">
        <v>0.699300699300699</v>
      </c>
      <c r="D15" s="81">
        <v>0.706043956043956</v>
      </c>
      <c r="E15" s="82">
        <v>0.718</v>
      </c>
      <c r="F15" s="81">
        <v>0.755924170616114</v>
      </c>
      <c r="G15" s="81"/>
      <c r="H15" s="81"/>
      <c r="I15" s="81"/>
      <c r="J15" s="81"/>
      <c r="K15" s="81"/>
      <c r="L15" s="81"/>
      <c r="M15" s="81"/>
      <c r="N15" s="28">
        <f t="shared" si="4"/>
        <v>0.719137347281706</v>
      </c>
      <c r="O15" s="27" t="str">
        <f t="shared" si="5"/>
        <v>宁波</v>
      </c>
      <c r="P15" s="76">
        <f t="shared" si="0"/>
        <v>80</v>
      </c>
      <c r="Q15" s="77">
        <f t="shared" si="1"/>
        <v>8</v>
      </c>
      <c r="S15" s="78">
        <f t="shared" si="2"/>
        <v>57.2158154859967</v>
      </c>
      <c r="T15" s="79">
        <f t="shared" si="3"/>
        <v>1</v>
      </c>
    </row>
    <row r="16" ht="15" customHeight="1" spans="1:21">
      <c r="A16" s="25" t="s">
        <v>12</v>
      </c>
      <c r="B16" s="81">
        <v>0.90625</v>
      </c>
      <c r="C16" s="81">
        <v>0.758620689655172</v>
      </c>
      <c r="D16" s="81">
        <v>0.7</v>
      </c>
      <c r="E16" s="82">
        <v>0.369565217391304</v>
      </c>
      <c r="F16" s="81">
        <v>0.757575757575758</v>
      </c>
      <c r="G16" s="81"/>
      <c r="H16" s="81"/>
      <c r="I16" s="81"/>
      <c r="J16" s="81"/>
      <c r="K16" s="81"/>
      <c r="L16" s="81"/>
      <c r="M16" s="81"/>
      <c r="N16" s="28">
        <f t="shared" si="4"/>
        <v>0.698402332924447</v>
      </c>
      <c r="O16" s="27" t="str">
        <f t="shared" si="5"/>
        <v>腾冲</v>
      </c>
      <c r="P16" s="76">
        <f t="shared" si="0"/>
        <v>81</v>
      </c>
      <c r="Q16" s="77">
        <f t="shared" si="1"/>
        <v>8.1</v>
      </c>
      <c r="S16" s="78">
        <f t="shared" si="2"/>
        <v>34.7706422018349</v>
      </c>
      <c r="T16" s="79">
        <f t="shared" si="3"/>
        <v>0.9</v>
      </c>
    </row>
    <row r="17" spans="1:20">
      <c r="A17" s="25" t="s">
        <v>6</v>
      </c>
      <c r="B17" s="81">
        <v>0.619834710743802</v>
      </c>
      <c r="C17" s="81">
        <v>0.8</v>
      </c>
      <c r="D17" s="81">
        <v>0.816216216216216</v>
      </c>
      <c r="E17" s="82">
        <v>0.742081447963801</v>
      </c>
      <c r="F17" s="81">
        <v>0.777310924369748</v>
      </c>
      <c r="G17" s="81"/>
      <c r="H17" s="81"/>
      <c r="I17" s="81"/>
      <c r="J17" s="81"/>
      <c r="K17" s="81"/>
      <c r="L17" s="81"/>
      <c r="M17" s="81"/>
      <c r="N17" s="28">
        <f t="shared" si="4"/>
        <v>0.751088659858713</v>
      </c>
      <c r="O17" s="27" t="str">
        <f t="shared" si="5"/>
        <v>长沙</v>
      </c>
      <c r="P17" s="76">
        <f t="shared" si="0"/>
        <v>90</v>
      </c>
      <c r="Q17" s="77">
        <f t="shared" si="1"/>
        <v>9</v>
      </c>
      <c r="S17" s="78">
        <f t="shared" si="2"/>
        <v>56.4126984126984</v>
      </c>
      <c r="T17" s="79">
        <f t="shared" si="3"/>
        <v>1</v>
      </c>
    </row>
    <row r="18" spans="1:20">
      <c r="A18" s="25" t="s">
        <v>85</v>
      </c>
      <c r="B18" s="81">
        <v>0.703626943005181</v>
      </c>
      <c r="C18" s="81">
        <v>0.749791840133222</v>
      </c>
      <c r="D18" s="81">
        <v>0.727905073649755</v>
      </c>
      <c r="E18" s="81">
        <v>0.735481705270225</v>
      </c>
      <c r="F18" s="81">
        <v>0.746081504702194</v>
      </c>
      <c r="G18" s="81"/>
      <c r="H18" s="81"/>
      <c r="I18" s="81"/>
      <c r="J18" s="81"/>
      <c r="K18" s="81"/>
      <c r="L18" s="81"/>
      <c r="M18" s="81"/>
      <c r="N18" s="28">
        <f t="shared" si="4"/>
        <v>0.732577413352115</v>
      </c>
    </row>
    <row r="19" spans="1:20">
      <c r="B19" s="28"/>
      <c r="C19" s="28"/>
      <c r="N19" s="28"/>
      <c r="R19" s="28"/>
    </row>
    <row r="20" spans="1:20">
      <c r="N20" s="28"/>
      <c r="P20" s="28"/>
      <c r="R20" s="28"/>
    </row>
    <row r="21" spans="1:20">
      <c r="A21" s="83" t="s">
        <v>142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R21" s="28"/>
    </row>
    <row r="22" ht="17.25" spans="1:20">
      <c r="A22" s="84" t="s">
        <v>79</v>
      </c>
      <c r="B22" s="84" t="s">
        <v>128</v>
      </c>
      <c r="C22" s="84" t="s">
        <v>129</v>
      </c>
      <c r="D22" s="84" t="s">
        <v>130</v>
      </c>
      <c r="E22" s="84" t="s">
        <v>131</v>
      </c>
      <c r="F22" s="84" t="s">
        <v>132</v>
      </c>
      <c r="G22" s="84" t="s">
        <v>133</v>
      </c>
      <c r="H22" s="84" t="s">
        <v>134</v>
      </c>
      <c r="I22" s="85" t="s">
        <v>135</v>
      </c>
      <c r="J22" s="85" t="s">
        <v>136</v>
      </c>
      <c r="K22" s="85" t="s">
        <v>137</v>
      </c>
      <c r="L22" s="85" t="s">
        <v>138</v>
      </c>
      <c r="M22" s="85" t="s">
        <v>139</v>
      </c>
      <c r="N22" s="85" t="s">
        <v>125</v>
      </c>
      <c r="R22" s="28"/>
    </row>
    <row r="23" spans="1:20">
      <c r="A23" s="86" t="s">
        <v>13</v>
      </c>
      <c r="B23" s="86">
        <v>202</v>
      </c>
      <c r="C23" s="86">
        <v>210</v>
      </c>
      <c r="D23" s="86">
        <v>147</v>
      </c>
      <c r="E23" s="86">
        <v>136</v>
      </c>
      <c r="F23" s="86">
        <v>121</v>
      </c>
      <c r="G23" s="86"/>
      <c r="H23" s="86"/>
      <c r="I23" s="87"/>
      <c r="J23" s="87"/>
      <c r="K23" s="87"/>
      <c r="L23" s="87"/>
      <c r="M23" s="87"/>
      <c r="N23" s="87">
        <f>SUM(B23:M23)</f>
        <v>816</v>
      </c>
      <c r="R23" s="28"/>
    </row>
    <row r="24" spans="1:20">
      <c r="A24" s="87" t="s">
        <v>8</v>
      </c>
      <c r="B24" s="87">
        <v>286</v>
      </c>
      <c r="C24" s="87">
        <v>245</v>
      </c>
      <c r="D24" s="87">
        <v>236</v>
      </c>
      <c r="E24" s="87">
        <v>275</v>
      </c>
      <c r="F24" s="87">
        <v>267</v>
      </c>
      <c r="G24" s="87"/>
      <c r="H24" s="87"/>
      <c r="I24" s="87"/>
      <c r="J24" s="87"/>
      <c r="K24" s="87"/>
      <c r="L24" s="87"/>
      <c r="M24" s="87"/>
      <c r="N24" s="87">
        <f t="shared" ref="N24:N36" si="6">SUM(B24:M24)</f>
        <v>1309</v>
      </c>
      <c r="R24" s="28"/>
    </row>
    <row r="25" spans="1:20">
      <c r="A25" s="87" t="s">
        <v>2</v>
      </c>
      <c r="B25" s="87">
        <v>287</v>
      </c>
      <c r="C25" s="87">
        <v>221</v>
      </c>
      <c r="D25" s="87">
        <v>214</v>
      </c>
      <c r="E25" s="87">
        <v>215</v>
      </c>
      <c r="F25" s="87">
        <v>213</v>
      </c>
      <c r="G25" s="87"/>
      <c r="H25" s="87"/>
      <c r="I25" s="87"/>
      <c r="J25" s="87"/>
      <c r="K25" s="87"/>
      <c r="L25" s="87"/>
      <c r="M25" s="87"/>
      <c r="N25" s="87">
        <f t="shared" si="6"/>
        <v>1150</v>
      </c>
      <c r="R25" s="28"/>
    </row>
    <row r="26" spans="1:20">
      <c r="A26" s="87" t="s">
        <v>5</v>
      </c>
      <c r="B26" s="87">
        <v>243</v>
      </c>
      <c r="C26" s="87">
        <v>274</v>
      </c>
      <c r="D26" s="87">
        <v>263</v>
      </c>
      <c r="E26" s="87">
        <v>279</v>
      </c>
      <c r="F26" s="87">
        <v>274</v>
      </c>
      <c r="G26" s="87"/>
      <c r="H26" s="87"/>
      <c r="I26" s="87"/>
      <c r="J26" s="87"/>
      <c r="K26" s="87"/>
      <c r="L26" s="87"/>
      <c r="M26" s="87"/>
      <c r="N26" s="87">
        <f t="shared" si="6"/>
        <v>1333</v>
      </c>
      <c r="R26" s="28"/>
    </row>
    <row r="27" spans="1:20">
      <c r="A27" s="87" t="s">
        <v>14</v>
      </c>
      <c r="B27" s="87">
        <v>79</v>
      </c>
      <c r="C27" s="87">
        <v>48</v>
      </c>
      <c r="D27" s="87">
        <v>38</v>
      </c>
      <c r="E27" s="87">
        <v>70</v>
      </c>
      <c r="F27" s="87">
        <v>46</v>
      </c>
      <c r="G27" s="87"/>
      <c r="H27" s="87"/>
      <c r="I27" s="87"/>
      <c r="J27" s="87"/>
      <c r="K27" s="87"/>
      <c r="L27" s="87"/>
      <c r="M27" s="87"/>
      <c r="N27" s="87">
        <f t="shared" si="6"/>
        <v>281</v>
      </c>
      <c r="R27" s="28"/>
    </row>
    <row r="28" spans="1:20">
      <c r="A28" s="87" t="s">
        <v>3</v>
      </c>
      <c r="B28" s="87">
        <v>250</v>
      </c>
      <c r="C28" s="87">
        <v>167</v>
      </c>
      <c r="D28" s="87">
        <v>205</v>
      </c>
      <c r="E28" s="87">
        <v>247</v>
      </c>
      <c r="F28" s="87">
        <v>256</v>
      </c>
      <c r="G28" s="87"/>
      <c r="H28" s="87"/>
      <c r="I28" s="87"/>
      <c r="J28" s="87"/>
      <c r="K28" s="87"/>
      <c r="L28" s="87"/>
      <c r="M28" s="87"/>
      <c r="N28" s="87">
        <f t="shared" si="6"/>
        <v>1125</v>
      </c>
      <c r="R28" s="28"/>
    </row>
    <row r="29" spans="1:20">
      <c r="A29" s="87" t="s">
        <v>4</v>
      </c>
      <c r="B29" s="87">
        <v>229</v>
      </c>
      <c r="C29" s="87">
        <v>200</v>
      </c>
      <c r="D29" s="87">
        <v>217</v>
      </c>
      <c r="E29" s="87">
        <v>170</v>
      </c>
      <c r="F29" s="87">
        <v>250</v>
      </c>
      <c r="G29" s="87"/>
      <c r="H29" s="87"/>
      <c r="I29" s="87"/>
      <c r="J29" s="87"/>
      <c r="K29" s="87"/>
      <c r="L29" s="87"/>
      <c r="M29" s="87"/>
      <c r="N29" s="87">
        <f t="shared" si="6"/>
        <v>1066</v>
      </c>
      <c r="R29" s="28"/>
    </row>
    <row r="30" spans="1:20">
      <c r="A30" s="87" t="s">
        <v>10</v>
      </c>
      <c r="B30" s="87">
        <v>320</v>
      </c>
      <c r="C30" s="87">
        <v>275</v>
      </c>
      <c r="D30" s="87">
        <v>239</v>
      </c>
      <c r="E30" s="87">
        <v>371</v>
      </c>
      <c r="F30" s="87">
        <v>342</v>
      </c>
      <c r="G30" s="87"/>
      <c r="H30" s="87"/>
      <c r="I30" s="87"/>
      <c r="J30" s="87"/>
      <c r="K30" s="87"/>
      <c r="L30" s="87"/>
      <c r="M30" s="87"/>
      <c r="N30" s="87">
        <f t="shared" si="6"/>
        <v>1547</v>
      </c>
      <c r="R30" s="28"/>
    </row>
    <row r="31" spans="1:20">
      <c r="A31" s="87" t="s">
        <v>9</v>
      </c>
      <c r="B31" s="87">
        <v>234</v>
      </c>
      <c r="C31" s="87">
        <v>205</v>
      </c>
      <c r="D31" s="87">
        <v>246</v>
      </c>
      <c r="E31" s="87">
        <v>294</v>
      </c>
      <c r="F31" s="87">
        <v>247</v>
      </c>
      <c r="G31" s="87"/>
      <c r="H31" s="87"/>
      <c r="I31" s="87"/>
      <c r="J31" s="87"/>
      <c r="K31" s="87"/>
      <c r="L31" s="87"/>
      <c r="M31" s="87"/>
      <c r="N31" s="87">
        <f t="shared" si="6"/>
        <v>1226</v>
      </c>
      <c r="R31" s="28"/>
    </row>
    <row r="32" spans="1:20">
      <c r="A32" s="87" t="s">
        <v>7</v>
      </c>
      <c r="B32" s="87">
        <v>68</v>
      </c>
      <c r="C32" s="87">
        <v>69</v>
      </c>
      <c r="D32" s="87">
        <v>65</v>
      </c>
      <c r="E32" s="87">
        <v>71</v>
      </c>
      <c r="F32" s="87">
        <v>50</v>
      </c>
      <c r="G32" s="87"/>
      <c r="H32" s="87"/>
      <c r="I32" s="87"/>
      <c r="J32" s="87"/>
      <c r="K32" s="87"/>
      <c r="L32" s="87"/>
      <c r="M32" s="87"/>
      <c r="N32" s="87">
        <f t="shared" si="6"/>
        <v>323</v>
      </c>
      <c r="R32" s="28"/>
    </row>
    <row r="33" spans="1:21">
      <c r="A33" s="87" t="s">
        <v>11</v>
      </c>
      <c r="B33" s="87">
        <v>396</v>
      </c>
      <c r="C33" s="87">
        <v>281</v>
      </c>
      <c r="D33" s="87">
        <v>353</v>
      </c>
      <c r="E33" s="87">
        <v>489</v>
      </c>
      <c r="F33" s="87">
        <v>412</v>
      </c>
      <c r="G33" s="87"/>
      <c r="H33" s="87"/>
      <c r="I33" s="87"/>
      <c r="J33" s="87"/>
      <c r="K33" s="87"/>
      <c r="L33" s="87"/>
      <c r="M33" s="87"/>
      <c r="N33" s="87">
        <f t="shared" si="6"/>
        <v>1931</v>
      </c>
      <c r="R33" s="28"/>
    </row>
    <row r="34" spans="1:21">
      <c r="A34" s="87" t="s">
        <v>12</v>
      </c>
      <c r="B34" s="87">
        <v>32</v>
      </c>
      <c r="C34" s="87">
        <v>29</v>
      </c>
      <c r="D34" s="87">
        <v>20</v>
      </c>
      <c r="E34" s="87">
        <v>92</v>
      </c>
      <c r="F34" s="87">
        <v>66</v>
      </c>
      <c r="G34" s="87"/>
      <c r="H34" s="87"/>
      <c r="I34" s="87"/>
      <c r="J34" s="87"/>
      <c r="K34" s="87"/>
      <c r="L34" s="87"/>
      <c r="M34" s="87"/>
      <c r="N34" s="87">
        <f t="shared" si="6"/>
        <v>239</v>
      </c>
      <c r="R34" s="28"/>
    </row>
    <row r="35" spans="1:21">
      <c r="A35" s="87" t="s">
        <v>6</v>
      </c>
      <c r="B35" s="87">
        <v>242</v>
      </c>
      <c r="C35" s="87">
        <v>155</v>
      </c>
      <c r="D35" s="87">
        <v>185</v>
      </c>
      <c r="E35" s="87">
        <v>221</v>
      </c>
      <c r="F35" s="87">
        <v>238</v>
      </c>
      <c r="G35" s="87"/>
      <c r="H35" s="87"/>
      <c r="I35" s="87"/>
      <c r="J35" s="87"/>
      <c r="K35" s="87"/>
      <c r="L35" s="87"/>
      <c r="M35" s="87"/>
      <c r="N35" s="87">
        <f t="shared" si="6"/>
        <v>1041</v>
      </c>
      <c r="R35" s="28"/>
    </row>
    <row r="36" spans="1:21">
      <c r="A36" s="88" t="s">
        <v>125</v>
      </c>
      <c r="B36" s="89">
        <f t="shared" ref="B36:M36" si="7">SUM(B23:B35)</f>
        <v>2868</v>
      </c>
      <c r="C36" s="89">
        <f t="shared" si="7"/>
        <v>2379</v>
      </c>
      <c r="D36" s="89">
        <f t="shared" si="7"/>
        <v>2428</v>
      </c>
      <c r="E36" s="89">
        <f t="shared" si="7"/>
        <v>2930</v>
      </c>
      <c r="F36" s="89">
        <f t="shared" si="7"/>
        <v>2782</v>
      </c>
      <c r="G36" s="89">
        <f t="shared" si="7"/>
        <v>0</v>
      </c>
      <c r="H36" s="89">
        <f t="shared" si="7"/>
        <v>0</v>
      </c>
      <c r="I36" s="89">
        <f t="shared" si="7"/>
        <v>0</v>
      </c>
      <c r="J36" s="89">
        <f t="shared" si="7"/>
        <v>0</v>
      </c>
      <c r="K36" s="89">
        <f t="shared" si="7"/>
        <v>0</v>
      </c>
      <c r="L36" s="89">
        <f t="shared" si="7"/>
        <v>0</v>
      </c>
      <c r="M36" s="89">
        <f t="shared" si="7"/>
        <v>0</v>
      </c>
      <c r="N36" s="89">
        <f t="shared" si="6"/>
        <v>13387</v>
      </c>
      <c r="O36" s="90"/>
      <c r="R36" s="28"/>
    </row>
    <row r="37" s="70" customFormat="1" spans="1:2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R37" s="91"/>
      <c r="U37" s="71"/>
    </row>
    <row r="38" s="70" customFormat="1" spans="1:2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R38" s="91"/>
      <c r="U38" s="71"/>
    </row>
    <row r="39" s="70" customFormat="1" spans="1:21">
      <c r="A39" s="83" t="s">
        <v>143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Q39" s="23"/>
      <c r="R39" s="23"/>
      <c r="S39" s="23"/>
      <c r="U39" s="92"/>
    </row>
    <row r="40" spans="1:21">
      <c r="A40" s="84" t="s">
        <v>79</v>
      </c>
      <c r="B40" s="84" t="s">
        <v>128</v>
      </c>
      <c r="C40" s="84" t="s">
        <v>129</v>
      </c>
      <c r="D40" s="84" t="s">
        <v>130</v>
      </c>
      <c r="E40" s="84" t="s">
        <v>131</v>
      </c>
      <c r="F40" s="84" t="s">
        <v>132</v>
      </c>
      <c r="G40" s="84" t="s">
        <v>133</v>
      </c>
      <c r="H40" s="84" t="s">
        <v>134</v>
      </c>
      <c r="I40" s="85" t="s">
        <v>135</v>
      </c>
      <c r="J40" s="85" t="s">
        <v>136</v>
      </c>
      <c r="K40" s="85" t="s">
        <v>137</v>
      </c>
      <c r="L40" s="85" t="s">
        <v>138</v>
      </c>
      <c r="M40" s="85" t="s">
        <v>139</v>
      </c>
      <c r="N40" s="85" t="s">
        <v>125</v>
      </c>
    </row>
    <row r="41" spans="1:21">
      <c r="A41" s="86" t="s">
        <v>13</v>
      </c>
      <c r="B41" s="86">
        <v>57</v>
      </c>
      <c r="C41" s="86">
        <v>55</v>
      </c>
      <c r="D41" s="86">
        <v>32</v>
      </c>
      <c r="E41" s="86">
        <v>22</v>
      </c>
      <c r="F41" s="86">
        <v>24</v>
      </c>
      <c r="G41" s="86"/>
      <c r="H41" s="86"/>
      <c r="I41" s="87"/>
      <c r="J41" s="87"/>
      <c r="K41" s="87"/>
      <c r="L41" s="87"/>
      <c r="M41" s="87"/>
      <c r="N41" s="87">
        <f t="shared" ref="N41:N53" si="8">SUM(B41:M41)</f>
        <v>190</v>
      </c>
    </row>
    <row r="42" spans="1:21">
      <c r="A42" s="87" t="s">
        <v>8</v>
      </c>
      <c r="B42" s="87">
        <v>49</v>
      </c>
      <c r="C42" s="87">
        <v>64</v>
      </c>
      <c r="D42" s="87">
        <v>48</v>
      </c>
      <c r="E42" s="87">
        <v>65</v>
      </c>
      <c r="F42" s="87">
        <v>70</v>
      </c>
      <c r="G42" s="87"/>
      <c r="H42" s="87"/>
      <c r="I42" s="87"/>
      <c r="J42" s="87"/>
      <c r="K42" s="87"/>
      <c r="L42" s="87"/>
      <c r="M42" s="87"/>
      <c r="N42" s="87">
        <f t="shared" si="8"/>
        <v>296</v>
      </c>
    </row>
    <row r="43" spans="1:21">
      <c r="A43" s="87" t="s">
        <v>2</v>
      </c>
      <c r="B43" s="87">
        <v>51</v>
      </c>
      <c r="C43" s="87">
        <v>33</v>
      </c>
      <c r="D43" s="87">
        <v>41</v>
      </c>
      <c r="E43" s="87">
        <v>28</v>
      </c>
      <c r="F43" s="87">
        <v>28</v>
      </c>
      <c r="G43" s="87"/>
      <c r="H43" s="87"/>
      <c r="I43" s="87"/>
      <c r="J43" s="87"/>
      <c r="K43" s="87"/>
      <c r="L43" s="87"/>
      <c r="M43" s="87"/>
      <c r="N43" s="87">
        <f t="shared" si="8"/>
        <v>181</v>
      </c>
    </row>
    <row r="44" spans="1:21">
      <c r="A44" s="87" t="s">
        <v>5</v>
      </c>
      <c r="B44" s="87">
        <v>77</v>
      </c>
      <c r="C44" s="87">
        <v>76</v>
      </c>
      <c r="D44" s="87">
        <v>83</v>
      </c>
      <c r="E44" s="87">
        <v>67</v>
      </c>
      <c r="F44" s="87">
        <v>54</v>
      </c>
      <c r="G44" s="87"/>
      <c r="H44" s="87"/>
      <c r="I44" s="87"/>
      <c r="J44" s="87"/>
      <c r="K44" s="87"/>
      <c r="L44" s="87"/>
      <c r="M44" s="87"/>
      <c r="N44" s="87">
        <f t="shared" si="8"/>
        <v>357</v>
      </c>
    </row>
    <row r="45" spans="1:21">
      <c r="A45" s="87" t="s">
        <v>14</v>
      </c>
      <c r="B45" s="87">
        <v>42</v>
      </c>
      <c r="C45" s="87">
        <v>10</v>
      </c>
      <c r="D45" s="87">
        <v>20</v>
      </c>
      <c r="E45" s="87">
        <v>23</v>
      </c>
      <c r="F45" s="87">
        <v>7</v>
      </c>
      <c r="G45" s="87"/>
      <c r="H45" s="87"/>
      <c r="I45" s="87"/>
      <c r="J45" s="87"/>
      <c r="K45" s="87"/>
      <c r="L45" s="87"/>
      <c r="M45" s="87"/>
      <c r="N45" s="87">
        <f t="shared" si="8"/>
        <v>102</v>
      </c>
    </row>
    <row r="46" spans="1:21">
      <c r="A46" s="87" t="s">
        <v>3</v>
      </c>
      <c r="B46" s="87">
        <v>44</v>
      </c>
      <c r="C46" s="87">
        <v>20</v>
      </c>
      <c r="D46" s="87">
        <v>16</v>
      </c>
      <c r="E46" s="87">
        <v>36</v>
      </c>
      <c r="F46" s="87">
        <v>33</v>
      </c>
      <c r="G46" s="87"/>
      <c r="H46" s="87"/>
      <c r="I46" s="87"/>
      <c r="J46" s="87"/>
      <c r="K46" s="87"/>
      <c r="L46" s="87"/>
      <c r="M46" s="87"/>
      <c r="N46" s="87">
        <f t="shared" si="8"/>
        <v>149</v>
      </c>
    </row>
    <row r="47" spans="1:21">
      <c r="A47" s="87" t="s">
        <v>4</v>
      </c>
      <c r="B47" s="87">
        <v>13</v>
      </c>
      <c r="C47" s="87">
        <v>21</v>
      </c>
      <c r="D47" s="87">
        <v>22</v>
      </c>
      <c r="E47" s="87">
        <v>14</v>
      </c>
      <c r="F47" s="87">
        <v>39</v>
      </c>
      <c r="G47" s="87"/>
      <c r="H47" s="87"/>
      <c r="I47" s="87"/>
      <c r="J47" s="87"/>
      <c r="K47" s="87"/>
      <c r="L47" s="87"/>
      <c r="M47" s="87"/>
      <c r="N47" s="87">
        <f t="shared" si="8"/>
        <v>109</v>
      </c>
    </row>
    <row r="48" spans="1:21">
      <c r="A48" s="87" t="s">
        <v>10</v>
      </c>
      <c r="B48" s="87">
        <v>80</v>
      </c>
      <c r="C48" s="87">
        <v>63</v>
      </c>
      <c r="D48" s="87">
        <v>60</v>
      </c>
      <c r="E48" s="87">
        <v>61</v>
      </c>
      <c r="F48" s="87">
        <v>77</v>
      </c>
      <c r="G48" s="87"/>
      <c r="H48" s="87"/>
      <c r="I48" s="87"/>
      <c r="J48" s="87"/>
      <c r="K48" s="87"/>
      <c r="L48" s="87"/>
      <c r="M48" s="87"/>
      <c r="N48" s="87">
        <f t="shared" si="8"/>
        <v>341</v>
      </c>
    </row>
    <row r="49" spans="1:21">
      <c r="A49" s="87" t="s">
        <v>9</v>
      </c>
      <c r="B49" s="87">
        <v>79</v>
      </c>
      <c r="C49" s="87">
        <v>54</v>
      </c>
      <c r="D49" s="87">
        <v>92</v>
      </c>
      <c r="E49" s="87">
        <v>93</v>
      </c>
      <c r="F49" s="87">
        <v>56</v>
      </c>
      <c r="G49" s="87"/>
      <c r="H49" s="87"/>
      <c r="I49" s="87"/>
      <c r="J49" s="87"/>
      <c r="K49" s="87"/>
      <c r="L49" s="87"/>
      <c r="M49" s="87"/>
      <c r="N49" s="87">
        <f t="shared" si="8"/>
        <v>374</v>
      </c>
    </row>
    <row r="50" spans="1:21">
      <c r="A50" s="87" t="s">
        <v>7</v>
      </c>
      <c r="B50" s="87">
        <v>13</v>
      </c>
      <c r="C50" s="87">
        <v>12</v>
      </c>
      <c r="D50" s="87">
        <v>11</v>
      </c>
      <c r="E50" s="87">
        <v>13</v>
      </c>
      <c r="F50" s="87">
        <v>7</v>
      </c>
      <c r="G50" s="87"/>
      <c r="H50" s="87"/>
      <c r="I50" s="87"/>
      <c r="J50" s="87"/>
      <c r="K50" s="87"/>
      <c r="L50" s="87"/>
      <c r="M50" s="87"/>
      <c r="N50" s="87">
        <f t="shared" si="8"/>
        <v>56</v>
      </c>
    </row>
    <row r="51" spans="1:21">
      <c r="A51" s="87" t="s">
        <v>11</v>
      </c>
      <c r="B51" s="87">
        <v>86</v>
      </c>
      <c r="C51" s="87">
        <v>50</v>
      </c>
      <c r="D51" s="87">
        <v>83</v>
      </c>
      <c r="E51" s="87">
        <v>107</v>
      </c>
      <c r="F51" s="87">
        <v>77</v>
      </c>
      <c r="G51" s="87"/>
      <c r="H51" s="87"/>
      <c r="I51" s="87"/>
      <c r="J51" s="87"/>
      <c r="K51" s="87"/>
      <c r="L51" s="87"/>
      <c r="M51" s="87"/>
      <c r="N51" s="87">
        <f t="shared" si="8"/>
        <v>403</v>
      </c>
    </row>
    <row r="52" spans="1:21">
      <c r="A52" s="87" t="s">
        <v>12</v>
      </c>
      <c r="B52" s="87">
        <v>3</v>
      </c>
      <c r="C52" s="87">
        <v>6</v>
      </c>
      <c r="D52" s="87">
        <v>5</v>
      </c>
      <c r="E52" s="87">
        <v>58</v>
      </c>
      <c r="F52" s="87">
        <v>15</v>
      </c>
      <c r="G52" s="87"/>
      <c r="H52" s="87"/>
      <c r="I52" s="87"/>
      <c r="J52" s="87"/>
      <c r="K52" s="87"/>
      <c r="L52" s="87"/>
      <c r="M52" s="87"/>
      <c r="N52" s="87">
        <f t="shared" si="8"/>
        <v>87</v>
      </c>
    </row>
    <row r="53" spans="1:21">
      <c r="A53" s="87" t="s">
        <v>6</v>
      </c>
      <c r="B53" s="87">
        <v>89</v>
      </c>
      <c r="C53" s="87">
        <v>28</v>
      </c>
      <c r="D53" s="87">
        <v>33</v>
      </c>
      <c r="E53" s="87">
        <v>56</v>
      </c>
      <c r="F53" s="87">
        <v>52</v>
      </c>
      <c r="G53" s="87"/>
      <c r="H53" s="87"/>
      <c r="I53" s="87"/>
      <c r="J53" s="87"/>
      <c r="K53" s="87"/>
      <c r="L53" s="87"/>
      <c r="M53" s="87"/>
      <c r="N53" s="87">
        <f t="shared" si="8"/>
        <v>258</v>
      </c>
    </row>
    <row r="54" spans="1:21">
      <c r="A54" s="88" t="s">
        <v>125</v>
      </c>
      <c r="B54" s="89">
        <f t="shared" ref="B54:N54" si="9">SUM(B41:B53)</f>
        <v>683</v>
      </c>
      <c r="C54" s="89">
        <f t="shared" si="9"/>
        <v>492</v>
      </c>
      <c r="D54" s="89">
        <f t="shared" si="9"/>
        <v>546</v>
      </c>
      <c r="E54" s="89">
        <f t="shared" si="9"/>
        <v>643</v>
      </c>
      <c r="F54" s="89">
        <f t="shared" si="9"/>
        <v>539</v>
      </c>
      <c r="G54" s="89">
        <f t="shared" si="9"/>
        <v>0</v>
      </c>
      <c r="H54" s="89">
        <f t="shared" si="9"/>
        <v>0</v>
      </c>
      <c r="I54" s="89">
        <f t="shared" si="9"/>
        <v>0</v>
      </c>
      <c r="J54" s="89">
        <f t="shared" si="9"/>
        <v>0</v>
      </c>
      <c r="K54" s="89">
        <f t="shared" si="9"/>
        <v>0</v>
      </c>
      <c r="L54" s="89">
        <f t="shared" si="9"/>
        <v>0</v>
      </c>
      <c r="M54" s="89">
        <f t="shared" si="9"/>
        <v>0</v>
      </c>
      <c r="N54" s="89">
        <f t="shared" si="9"/>
        <v>2903</v>
      </c>
    </row>
    <row r="55" spans="1:21">
      <c r="N55" s="28"/>
    </row>
    <row r="56" s="70" customFormat="1" spans="1:2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R56" s="91"/>
      <c r="U56" s="92"/>
    </row>
    <row r="57" s="70" customFormat="1" spans="1:21">
      <c r="A57" s="83" t="s">
        <v>144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R57" s="91"/>
      <c r="U57" s="92"/>
    </row>
    <row r="58" ht="17.25" spans="1:21">
      <c r="A58" s="84" t="s">
        <v>79</v>
      </c>
      <c r="B58" s="84" t="s">
        <v>128</v>
      </c>
      <c r="C58" s="84" t="s">
        <v>129</v>
      </c>
      <c r="D58" s="84" t="s">
        <v>130</v>
      </c>
      <c r="E58" s="84" t="s">
        <v>131</v>
      </c>
      <c r="F58" s="84" t="s">
        <v>132</v>
      </c>
      <c r="G58" s="84" t="s">
        <v>133</v>
      </c>
      <c r="H58" s="84" t="s">
        <v>134</v>
      </c>
      <c r="I58" s="85" t="s">
        <v>135</v>
      </c>
      <c r="J58" s="85" t="s">
        <v>136</v>
      </c>
      <c r="K58" s="85" t="s">
        <v>137</v>
      </c>
      <c r="L58" s="85" t="s">
        <v>138</v>
      </c>
      <c r="M58" s="85" t="s">
        <v>139</v>
      </c>
      <c r="N58" s="85" t="s">
        <v>125</v>
      </c>
      <c r="R58" s="28"/>
    </row>
    <row r="59" spans="1:21">
      <c r="A59" s="86" t="s">
        <v>13</v>
      </c>
      <c r="B59" s="86">
        <v>24</v>
      </c>
      <c r="C59" s="86">
        <v>28</v>
      </c>
      <c r="D59" s="86">
        <v>30</v>
      </c>
      <c r="E59" s="86">
        <v>19</v>
      </c>
      <c r="F59" s="86">
        <v>28</v>
      </c>
      <c r="G59" s="86"/>
      <c r="H59" s="86"/>
      <c r="I59" s="87"/>
      <c r="J59" s="87"/>
      <c r="K59" s="87"/>
      <c r="L59" s="87"/>
      <c r="M59" s="87"/>
      <c r="N59" s="87">
        <f>SUM(B59:M59)</f>
        <v>129</v>
      </c>
      <c r="R59" s="28"/>
    </row>
    <row r="60" spans="1:21">
      <c r="A60" s="87" t="s">
        <v>8</v>
      </c>
      <c r="B60" s="87">
        <v>76</v>
      </c>
      <c r="C60" s="87">
        <v>32</v>
      </c>
      <c r="D60" s="87">
        <v>30</v>
      </c>
      <c r="E60" s="87">
        <v>48</v>
      </c>
      <c r="F60" s="87">
        <v>48</v>
      </c>
      <c r="G60" s="87"/>
      <c r="H60" s="87"/>
      <c r="I60" s="87"/>
      <c r="J60" s="87"/>
      <c r="K60" s="87"/>
      <c r="L60" s="87"/>
      <c r="M60" s="87"/>
      <c r="N60" s="87">
        <f t="shared" ref="N60:N71" si="10">SUM(B60:M60)</f>
        <v>234</v>
      </c>
      <c r="R60" s="28"/>
    </row>
    <row r="61" spans="1:21">
      <c r="A61" s="87" t="s">
        <v>2</v>
      </c>
      <c r="B61" s="87">
        <v>64</v>
      </c>
      <c r="C61" s="87">
        <v>43</v>
      </c>
      <c r="D61" s="87">
        <v>26</v>
      </c>
      <c r="E61" s="87">
        <v>50</v>
      </c>
      <c r="F61" s="87">
        <v>26</v>
      </c>
      <c r="G61" s="87"/>
      <c r="H61" s="87"/>
      <c r="I61" s="87"/>
      <c r="J61" s="87"/>
      <c r="K61" s="87"/>
      <c r="L61" s="87"/>
      <c r="M61" s="87"/>
      <c r="N61" s="87">
        <f t="shared" si="10"/>
        <v>209</v>
      </c>
      <c r="R61" s="28"/>
    </row>
    <row r="62" spans="1:21">
      <c r="A62" s="87" t="s">
        <v>5</v>
      </c>
      <c r="B62" s="87">
        <v>47</v>
      </c>
      <c r="C62" s="87">
        <v>37</v>
      </c>
      <c r="D62" s="87">
        <v>54</v>
      </c>
      <c r="E62" s="87">
        <v>38</v>
      </c>
      <c r="F62" s="87">
        <v>60</v>
      </c>
      <c r="G62" s="87"/>
      <c r="H62" s="87"/>
      <c r="I62" s="87"/>
      <c r="J62" s="87"/>
      <c r="K62" s="87"/>
      <c r="L62" s="87"/>
      <c r="M62" s="87"/>
      <c r="N62" s="87">
        <f t="shared" si="10"/>
        <v>236</v>
      </c>
      <c r="R62" s="28"/>
    </row>
    <row r="63" spans="1:21">
      <c r="A63" s="87" t="s">
        <v>14</v>
      </c>
      <c r="B63" s="87">
        <v>22</v>
      </c>
      <c r="C63" s="87">
        <v>3</v>
      </c>
      <c r="D63" s="87">
        <v>6</v>
      </c>
      <c r="E63" s="87">
        <v>12</v>
      </c>
      <c r="F63" s="87">
        <v>12</v>
      </c>
      <c r="G63" s="87"/>
      <c r="H63" s="87"/>
      <c r="I63" s="87"/>
      <c r="J63" s="87"/>
      <c r="K63" s="87"/>
      <c r="L63" s="87"/>
      <c r="M63" s="87"/>
      <c r="N63" s="87">
        <f t="shared" si="10"/>
        <v>55</v>
      </c>
      <c r="R63" s="28"/>
    </row>
    <row r="64" spans="1:21">
      <c r="A64" s="87" t="s">
        <v>3</v>
      </c>
      <c r="B64" s="87">
        <v>85</v>
      </c>
      <c r="C64" s="87">
        <v>30</v>
      </c>
      <c r="D64" s="87">
        <v>71</v>
      </c>
      <c r="E64" s="87">
        <v>69</v>
      </c>
      <c r="F64" s="87">
        <v>77</v>
      </c>
      <c r="G64" s="87"/>
      <c r="H64" s="87"/>
      <c r="I64" s="87"/>
      <c r="J64" s="87"/>
      <c r="K64" s="87"/>
      <c r="L64" s="87"/>
      <c r="M64" s="87"/>
      <c r="N64" s="87">
        <f t="shared" si="10"/>
        <v>332</v>
      </c>
      <c r="R64" s="28"/>
    </row>
    <row r="65" spans="1:22">
      <c r="A65" s="87" t="s">
        <v>4</v>
      </c>
      <c r="B65" s="87">
        <v>63</v>
      </c>
      <c r="C65" s="87">
        <v>29</v>
      </c>
      <c r="D65" s="87">
        <v>61</v>
      </c>
      <c r="E65" s="87">
        <v>50</v>
      </c>
      <c r="F65" s="87">
        <v>63</v>
      </c>
      <c r="G65" s="87"/>
      <c r="H65" s="87"/>
      <c r="I65" s="87"/>
      <c r="J65" s="87"/>
      <c r="K65" s="87"/>
      <c r="L65" s="87"/>
      <c r="M65" s="87"/>
      <c r="N65" s="87">
        <f t="shared" si="10"/>
        <v>266</v>
      </c>
      <c r="R65" s="28"/>
    </row>
    <row r="66" spans="1:22">
      <c r="A66" s="87" t="s">
        <v>10</v>
      </c>
      <c r="B66" s="87">
        <v>78</v>
      </c>
      <c r="C66" s="87">
        <v>32</v>
      </c>
      <c r="D66" s="87">
        <v>34</v>
      </c>
      <c r="E66" s="87">
        <v>60</v>
      </c>
      <c r="F66" s="87">
        <v>57</v>
      </c>
      <c r="G66" s="87"/>
      <c r="H66" s="87"/>
      <c r="I66" s="87"/>
      <c r="J66" s="87"/>
      <c r="K66" s="87"/>
      <c r="L66" s="87"/>
      <c r="M66" s="87"/>
      <c r="N66" s="87">
        <f t="shared" si="10"/>
        <v>261</v>
      </c>
      <c r="R66" s="28"/>
    </row>
    <row r="67" spans="1:22">
      <c r="A67" s="87" t="s">
        <v>9</v>
      </c>
      <c r="B67" s="87">
        <v>33</v>
      </c>
      <c r="C67" s="87">
        <v>13</v>
      </c>
      <c r="D67" s="87">
        <v>20</v>
      </c>
      <c r="E67" s="87">
        <v>19</v>
      </c>
      <c r="F67" s="87">
        <v>26</v>
      </c>
      <c r="G67" s="87"/>
      <c r="H67" s="87"/>
      <c r="I67" s="87"/>
      <c r="J67" s="87"/>
      <c r="K67" s="87"/>
      <c r="L67" s="87"/>
      <c r="M67" s="87"/>
      <c r="N67" s="87">
        <f t="shared" si="10"/>
        <v>111</v>
      </c>
      <c r="R67" s="28"/>
    </row>
    <row r="68" spans="1:22">
      <c r="A68" s="87" t="s">
        <v>7</v>
      </c>
      <c r="B68" s="87">
        <v>19</v>
      </c>
      <c r="C68" s="87">
        <v>12</v>
      </c>
      <c r="D68" s="87">
        <v>23</v>
      </c>
      <c r="E68" s="87">
        <v>11</v>
      </c>
      <c r="F68" s="87">
        <v>5</v>
      </c>
      <c r="G68" s="87"/>
      <c r="H68" s="87"/>
      <c r="I68" s="87"/>
      <c r="J68" s="87"/>
      <c r="K68" s="87"/>
      <c r="L68" s="87"/>
      <c r="M68" s="87"/>
      <c r="N68" s="87">
        <f t="shared" si="10"/>
        <v>70</v>
      </c>
      <c r="R68" s="28"/>
    </row>
    <row r="69" spans="1:22">
      <c r="A69" s="87" t="s">
        <v>11</v>
      </c>
      <c r="B69" s="87">
        <v>117</v>
      </c>
      <c r="C69" s="87">
        <v>41</v>
      </c>
      <c r="D69" s="87">
        <v>57</v>
      </c>
      <c r="E69" s="87">
        <v>87</v>
      </c>
      <c r="F69" s="87">
        <v>88</v>
      </c>
      <c r="G69" s="87"/>
      <c r="H69" s="87"/>
      <c r="I69" s="87"/>
      <c r="J69" s="87"/>
      <c r="K69" s="87"/>
      <c r="L69" s="87"/>
      <c r="M69" s="87"/>
      <c r="N69" s="87">
        <f t="shared" si="10"/>
        <v>390</v>
      </c>
      <c r="R69" s="28"/>
    </row>
    <row r="70" spans="1:22">
      <c r="A70" s="87" t="s">
        <v>12</v>
      </c>
      <c r="B70" s="87">
        <v>13</v>
      </c>
      <c r="C70" s="87">
        <v>4</v>
      </c>
      <c r="D70" s="87">
        <v>3</v>
      </c>
      <c r="E70" s="87">
        <v>8</v>
      </c>
      <c r="F70" s="87">
        <v>10</v>
      </c>
      <c r="G70" s="87"/>
      <c r="H70" s="87"/>
      <c r="I70" s="87"/>
      <c r="J70" s="87"/>
      <c r="K70" s="87"/>
      <c r="L70" s="87"/>
      <c r="M70" s="87"/>
      <c r="N70" s="87">
        <f t="shared" si="10"/>
        <v>38</v>
      </c>
      <c r="R70" s="28"/>
    </row>
    <row r="71" spans="1:22">
      <c r="A71" s="87" t="s">
        <v>6</v>
      </c>
      <c r="B71" s="87">
        <v>53</v>
      </c>
      <c r="C71" s="87">
        <v>35</v>
      </c>
      <c r="D71" s="87">
        <v>31</v>
      </c>
      <c r="E71" s="87">
        <v>35</v>
      </c>
      <c r="F71" s="87">
        <v>43</v>
      </c>
      <c r="G71" s="87"/>
      <c r="H71" s="87"/>
      <c r="I71" s="87"/>
      <c r="J71" s="87"/>
      <c r="K71" s="87"/>
      <c r="L71" s="87"/>
      <c r="M71" s="87"/>
      <c r="N71" s="87">
        <f t="shared" si="10"/>
        <v>197</v>
      </c>
      <c r="R71" s="28"/>
    </row>
    <row r="72" spans="1:22">
      <c r="A72" s="88" t="s">
        <v>125</v>
      </c>
      <c r="B72" s="89">
        <f t="shared" ref="B72:N72" si="11">SUM(B59:B71)</f>
        <v>694</v>
      </c>
      <c r="C72" s="89">
        <f t="shared" si="11"/>
        <v>339</v>
      </c>
      <c r="D72" s="89">
        <f t="shared" si="11"/>
        <v>446</v>
      </c>
      <c r="E72" s="89">
        <f t="shared" si="11"/>
        <v>506</v>
      </c>
      <c r="F72" s="89">
        <f t="shared" si="11"/>
        <v>543</v>
      </c>
      <c r="G72" s="89">
        <f t="shared" si="11"/>
        <v>0</v>
      </c>
      <c r="H72" s="89">
        <f t="shared" si="11"/>
        <v>0</v>
      </c>
      <c r="I72" s="89">
        <f t="shared" si="11"/>
        <v>0</v>
      </c>
      <c r="J72" s="89">
        <f t="shared" si="11"/>
        <v>0</v>
      </c>
      <c r="K72" s="89">
        <f t="shared" si="11"/>
        <v>0</v>
      </c>
      <c r="L72" s="89">
        <f t="shared" si="11"/>
        <v>0</v>
      </c>
      <c r="M72" s="89">
        <f t="shared" si="11"/>
        <v>0</v>
      </c>
      <c r="N72" s="89">
        <f t="shared" si="11"/>
        <v>2528</v>
      </c>
      <c r="R72" s="28"/>
      <c r="V72" s="28"/>
    </row>
    <row r="73" spans="1:22">
      <c r="N73" s="28"/>
      <c r="R73" s="28"/>
      <c r="V73" s="28"/>
    </row>
    <row r="74" spans="1:22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Q74" s="93"/>
      <c r="R74" s="28"/>
    </row>
    <row r="75" spans="1:22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R75" s="28"/>
    </row>
    <row r="76" spans="1:22">
      <c r="A76" s="83" t="s">
        <v>145</v>
      </c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</row>
    <row r="77" spans="1:22">
      <c r="A77" s="84" t="s">
        <v>79</v>
      </c>
      <c r="B77" s="84" t="s">
        <v>128</v>
      </c>
      <c r="C77" s="84" t="s">
        <v>129</v>
      </c>
      <c r="D77" s="84" t="s">
        <v>130</v>
      </c>
      <c r="E77" s="84" t="s">
        <v>131</v>
      </c>
      <c r="F77" s="84" t="s">
        <v>132</v>
      </c>
      <c r="G77" s="84" t="s">
        <v>133</v>
      </c>
      <c r="H77" s="84" t="s">
        <v>134</v>
      </c>
      <c r="I77" s="85" t="s">
        <v>135</v>
      </c>
      <c r="J77" s="85" t="s">
        <v>136</v>
      </c>
      <c r="K77" s="85" t="s">
        <v>137</v>
      </c>
      <c r="L77" s="85" t="s">
        <v>138</v>
      </c>
      <c r="M77" s="85" t="s">
        <v>139</v>
      </c>
      <c r="N77" s="85" t="s">
        <v>125</v>
      </c>
    </row>
    <row r="78" spans="1:22">
      <c r="A78" s="86" t="s">
        <v>13</v>
      </c>
      <c r="B78" s="86">
        <v>81</v>
      </c>
      <c r="C78" s="86">
        <v>83</v>
      </c>
      <c r="D78" s="86">
        <v>62</v>
      </c>
      <c r="E78" s="86">
        <v>41</v>
      </c>
      <c r="F78" s="86">
        <v>52</v>
      </c>
      <c r="G78" s="86"/>
      <c r="H78" s="86"/>
      <c r="I78" s="87"/>
      <c r="J78" s="87"/>
      <c r="K78" s="87"/>
      <c r="L78" s="87"/>
      <c r="M78" s="87"/>
      <c r="N78" s="87">
        <f t="shared" ref="N78:N90" si="12">SUM(B78:M78)</f>
        <v>319</v>
      </c>
    </row>
    <row r="79" spans="1:22">
      <c r="A79" s="87" t="s">
        <v>8</v>
      </c>
      <c r="B79" s="87">
        <v>125</v>
      </c>
      <c r="C79" s="87">
        <v>96</v>
      </c>
      <c r="D79" s="87">
        <v>78</v>
      </c>
      <c r="E79" s="87">
        <v>113</v>
      </c>
      <c r="F79" s="87">
        <v>118</v>
      </c>
      <c r="G79" s="87"/>
      <c r="H79" s="87"/>
      <c r="I79" s="87"/>
      <c r="J79" s="87"/>
      <c r="K79" s="87"/>
      <c r="L79" s="87"/>
      <c r="M79" s="87"/>
      <c r="N79" s="87">
        <f t="shared" si="12"/>
        <v>530</v>
      </c>
    </row>
    <row r="80" spans="1:22">
      <c r="A80" s="87" t="s">
        <v>2</v>
      </c>
      <c r="B80" s="87">
        <v>115</v>
      </c>
      <c r="C80" s="87">
        <v>76</v>
      </c>
      <c r="D80" s="87">
        <v>67</v>
      </c>
      <c r="E80" s="87">
        <v>78</v>
      </c>
      <c r="F80" s="87">
        <v>54</v>
      </c>
      <c r="G80" s="87"/>
      <c r="H80" s="87"/>
      <c r="I80" s="87"/>
      <c r="J80" s="87"/>
      <c r="K80" s="87"/>
      <c r="L80" s="87"/>
      <c r="M80" s="87"/>
      <c r="N80" s="87">
        <f t="shared" si="12"/>
        <v>390</v>
      </c>
    </row>
    <row r="81" spans="1:18">
      <c r="A81" s="87" t="s">
        <v>5</v>
      </c>
      <c r="B81" s="87">
        <v>124</v>
      </c>
      <c r="C81" s="87">
        <v>113</v>
      </c>
      <c r="D81" s="87">
        <v>137</v>
      </c>
      <c r="E81" s="87">
        <v>105</v>
      </c>
      <c r="F81" s="87">
        <v>114</v>
      </c>
      <c r="G81" s="87"/>
      <c r="H81" s="87"/>
      <c r="I81" s="87"/>
      <c r="J81" s="87"/>
      <c r="K81" s="87"/>
      <c r="L81" s="87"/>
      <c r="M81" s="87"/>
      <c r="N81" s="87">
        <f t="shared" si="12"/>
        <v>593</v>
      </c>
    </row>
    <row r="82" spans="1:18">
      <c r="A82" s="87" t="s">
        <v>14</v>
      </c>
      <c r="B82" s="87">
        <v>64</v>
      </c>
      <c r="C82" s="87">
        <v>13</v>
      </c>
      <c r="D82" s="87">
        <v>26</v>
      </c>
      <c r="E82" s="87">
        <v>35</v>
      </c>
      <c r="F82" s="87">
        <v>19</v>
      </c>
      <c r="G82" s="87"/>
      <c r="H82" s="87"/>
      <c r="I82" s="87"/>
      <c r="J82" s="87"/>
      <c r="K82" s="87"/>
      <c r="L82" s="87"/>
      <c r="M82" s="87"/>
      <c r="N82" s="87">
        <f t="shared" si="12"/>
        <v>157</v>
      </c>
    </row>
    <row r="83" spans="1:18">
      <c r="A83" s="87" t="s">
        <v>3</v>
      </c>
      <c r="B83" s="87">
        <v>129</v>
      </c>
      <c r="C83" s="87">
        <v>50</v>
      </c>
      <c r="D83" s="87">
        <v>87</v>
      </c>
      <c r="E83" s="87">
        <v>105</v>
      </c>
      <c r="F83" s="87">
        <v>110</v>
      </c>
      <c r="G83" s="87"/>
      <c r="H83" s="87"/>
      <c r="I83" s="87"/>
      <c r="J83" s="87"/>
      <c r="K83" s="87"/>
      <c r="L83" s="87"/>
      <c r="M83" s="87"/>
      <c r="N83" s="87">
        <f t="shared" si="12"/>
        <v>481</v>
      </c>
    </row>
    <row r="84" spans="1:18">
      <c r="A84" s="87" t="s">
        <v>4</v>
      </c>
      <c r="B84" s="87">
        <v>76</v>
      </c>
      <c r="C84" s="87">
        <v>50</v>
      </c>
      <c r="D84" s="87">
        <v>83</v>
      </c>
      <c r="E84" s="87">
        <v>64</v>
      </c>
      <c r="F84" s="87">
        <v>102</v>
      </c>
      <c r="G84" s="87"/>
      <c r="H84" s="87"/>
      <c r="I84" s="87"/>
      <c r="J84" s="87"/>
      <c r="K84" s="87"/>
      <c r="L84" s="87"/>
      <c r="M84" s="87"/>
      <c r="N84" s="87">
        <f t="shared" si="12"/>
        <v>375</v>
      </c>
    </row>
    <row r="85" spans="1:18">
      <c r="A85" s="87" t="s">
        <v>10</v>
      </c>
      <c r="B85" s="87">
        <v>158</v>
      </c>
      <c r="C85" s="87">
        <v>95</v>
      </c>
      <c r="D85" s="87">
        <v>94</v>
      </c>
      <c r="E85" s="87">
        <v>121</v>
      </c>
      <c r="F85" s="87">
        <v>134</v>
      </c>
      <c r="G85" s="87"/>
      <c r="H85" s="87"/>
      <c r="I85" s="87"/>
      <c r="J85" s="87"/>
      <c r="K85" s="87"/>
      <c r="L85" s="87"/>
      <c r="M85" s="87"/>
      <c r="N85" s="87">
        <f t="shared" si="12"/>
        <v>602</v>
      </c>
    </row>
    <row r="86" spans="1:18">
      <c r="A86" s="87" t="s">
        <v>9</v>
      </c>
      <c r="B86" s="87">
        <v>112</v>
      </c>
      <c r="C86" s="87">
        <v>67</v>
      </c>
      <c r="D86" s="87">
        <v>112</v>
      </c>
      <c r="E86" s="87">
        <v>112</v>
      </c>
      <c r="F86" s="87">
        <v>82</v>
      </c>
      <c r="G86" s="87"/>
      <c r="H86" s="87"/>
      <c r="I86" s="87"/>
      <c r="J86" s="87"/>
      <c r="K86" s="87"/>
      <c r="L86" s="87"/>
      <c r="M86" s="87"/>
      <c r="N86" s="87">
        <f t="shared" si="12"/>
        <v>485</v>
      </c>
    </row>
    <row r="87" spans="1:18">
      <c r="A87" s="87" t="s">
        <v>7</v>
      </c>
      <c r="B87" s="87">
        <v>32</v>
      </c>
      <c r="C87" s="87">
        <v>24</v>
      </c>
      <c r="D87" s="87">
        <v>34</v>
      </c>
      <c r="E87" s="87">
        <v>24</v>
      </c>
      <c r="F87" s="87">
        <v>12</v>
      </c>
      <c r="G87" s="87"/>
      <c r="H87" s="87"/>
      <c r="I87" s="87"/>
      <c r="J87" s="87"/>
      <c r="K87" s="87"/>
      <c r="L87" s="87"/>
      <c r="M87" s="87"/>
      <c r="N87" s="87">
        <f t="shared" si="12"/>
        <v>126</v>
      </c>
    </row>
    <row r="88" spans="1:18">
      <c r="A88" s="87" t="s">
        <v>11</v>
      </c>
      <c r="B88" s="87">
        <v>203</v>
      </c>
      <c r="C88" s="87">
        <v>91</v>
      </c>
      <c r="D88" s="87">
        <v>140</v>
      </c>
      <c r="E88" s="87">
        <v>194</v>
      </c>
      <c r="F88" s="87">
        <v>165</v>
      </c>
      <c r="G88" s="87"/>
      <c r="H88" s="87"/>
      <c r="I88" s="87"/>
      <c r="J88" s="87"/>
      <c r="K88" s="87"/>
      <c r="L88" s="87"/>
      <c r="M88" s="87"/>
      <c r="N88" s="87">
        <f t="shared" si="12"/>
        <v>793</v>
      </c>
    </row>
    <row r="89" spans="1:18">
      <c r="A89" s="87" t="s">
        <v>12</v>
      </c>
      <c r="B89" s="87">
        <v>16</v>
      </c>
      <c r="C89" s="87">
        <v>10</v>
      </c>
      <c r="D89" s="87">
        <v>8</v>
      </c>
      <c r="E89" s="87">
        <v>66</v>
      </c>
      <c r="F89" s="87">
        <v>25</v>
      </c>
      <c r="G89" s="87"/>
      <c r="H89" s="87"/>
      <c r="I89" s="87"/>
      <c r="J89" s="87"/>
      <c r="K89" s="87"/>
      <c r="L89" s="87"/>
      <c r="M89" s="87"/>
      <c r="N89" s="87">
        <f t="shared" si="12"/>
        <v>125</v>
      </c>
    </row>
    <row r="90" spans="1:18">
      <c r="A90" s="87" t="s">
        <v>6</v>
      </c>
      <c r="B90" s="87">
        <v>142</v>
      </c>
      <c r="C90" s="87">
        <v>63</v>
      </c>
      <c r="D90" s="87">
        <v>64</v>
      </c>
      <c r="E90" s="87">
        <v>91</v>
      </c>
      <c r="F90" s="87">
        <v>95</v>
      </c>
      <c r="G90" s="87"/>
      <c r="H90" s="87"/>
      <c r="I90" s="87"/>
      <c r="J90" s="87"/>
      <c r="K90" s="87"/>
      <c r="L90" s="87"/>
      <c r="M90" s="87"/>
      <c r="N90" s="87">
        <f t="shared" si="12"/>
        <v>455</v>
      </c>
    </row>
    <row r="91" spans="1:18">
      <c r="A91" s="88" t="s">
        <v>125</v>
      </c>
      <c r="B91" s="89">
        <f t="shared" ref="B91:N91" si="13">SUM(B78:B90)</f>
        <v>1377</v>
      </c>
      <c r="C91" s="89">
        <f t="shared" si="13"/>
        <v>831</v>
      </c>
      <c r="D91" s="89">
        <f t="shared" si="13"/>
        <v>992</v>
      </c>
      <c r="E91" s="89">
        <f t="shared" si="13"/>
        <v>1149</v>
      </c>
      <c r="F91" s="89">
        <f t="shared" si="13"/>
        <v>1082</v>
      </c>
      <c r="G91" s="89">
        <f t="shared" si="13"/>
        <v>0</v>
      </c>
      <c r="H91" s="89">
        <f t="shared" si="13"/>
        <v>0</v>
      </c>
      <c r="I91" s="89">
        <f t="shared" si="13"/>
        <v>0</v>
      </c>
      <c r="J91" s="89">
        <f t="shared" si="13"/>
        <v>0</v>
      </c>
      <c r="K91" s="89">
        <f t="shared" si="13"/>
        <v>0</v>
      </c>
      <c r="L91" s="89">
        <f t="shared" si="13"/>
        <v>0</v>
      </c>
      <c r="M91" s="89">
        <f t="shared" si="13"/>
        <v>0</v>
      </c>
      <c r="N91" s="89">
        <f t="shared" si="13"/>
        <v>5431</v>
      </c>
    </row>
    <row r="92" spans="1:18">
      <c r="B92" s="23">
        <f>B54+B72-B91</f>
        <v>0</v>
      </c>
      <c r="C92" s="23">
        <f t="shared" ref="C92:N92" si="14">C54+C72-C91</f>
        <v>0</v>
      </c>
      <c r="D92" s="23">
        <f t="shared" si="14"/>
        <v>0</v>
      </c>
      <c r="E92" s="23">
        <f t="shared" si="14"/>
        <v>0</v>
      </c>
      <c r="F92" s="23">
        <f t="shared" si="14"/>
        <v>0</v>
      </c>
      <c r="G92" s="23">
        <f t="shared" si="14"/>
        <v>0</v>
      </c>
      <c r="H92" s="23">
        <f t="shared" si="14"/>
        <v>0</v>
      </c>
      <c r="I92" s="23">
        <f t="shared" si="14"/>
        <v>0</v>
      </c>
      <c r="J92" s="23">
        <f t="shared" si="14"/>
        <v>0</v>
      </c>
      <c r="K92" s="23">
        <f t="shared" si="14"/>
        <v>0</v>
      </c>
      <c r="L92" s="23">
        <f t="shared" si="14"/>
        <v>0</v>
      </c>
      <c r="M92" s="23">
        <f t="shared" si="14"/>
        <v>0</v>
      </c>
      <c r="N92" s="23">
        <f t="shared" si="14"/>
        <v>0</v>
      </c>
      <c r="R92" s="28"/>
    </row>
    <row r="93" spans="1:18">
      <c r="N93" s="28"/>
      <c r="Q93" s="93"/>
      <c r="R93" s="28"/>
    </row>
    <row r="94" spans="1:18">
      <c r="A94" s="94" t="s">
        <v>146</v>
      </c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R94" s="28"/>
    </row>
    <row r="95" spans="1:18">
      <c r="A95" s="84" t="s">
        <v>79</v>
      </c>
      <c r="B95" s="84" t="s">
        <v>128</v>
      </c>
      <c r="C95" s="84" t="s">
        <v>129</v>
      </c>
      <c r="D95" s="84" t="s">
        <v>130</v>
      </c>
      <c r="E95" s="84" t="s">
        <v>131</v>
      </c>
      <c r="F95" s="84" t="s">
        <v>132</v>
      </c>
      <c r="G95" s="84" t="s">
        <v>133</v>
      </c>
      <c r="H95" s="84" t="s">
        <v>134</v>
      </c>
      <c r="I95" s="85" t="s">
        <v>135</v>
      </c>
      <c r="J95" s="85" t="s">
        <v>136</v>
      </c>
      <c r="K95" s="85" t="s">
        <v>137</v>
      </c>
      <c r="L95" s="85" t="s">
        <v>138</v>
      </c>
      <c r="M95" s="85" t="s">
        <v>139</v>
      </c>
      <c r="N95" s="85" t="s">
        <v>125</v>
      </c>
    </row>
    <row r="96" spans="1:18">
      <c r="A96" s="86" t="s">
        <v>13</v>
      </c>
      <c r="B96" s="86">
        <v>30</v>
      </c>
      <c r="C96" s="86">
        <v>8</v>
      </c>
      <c r="D96" s="86">
        <v>0</v>
      </c>
      <c r="E96" s="86">
        <v>4</v>
      </c>
      <c r="F96" s="86">
        <v>15</v>
      </c>
      <c r="G96" s="86"/>
      <c r="H96" s="86"/>
      <c r="I96" s="87"/>
      <c r="J96" s="87"/>
      <c r="K96" s="87"/>
      <c r="L96" s="87"/>
      <c r="M96" s="87"/>
      <c r="N96" s="87">
        <f t="shared" ref="N96:N108" si="15">SUM(B96:M96)</f>
        <v>57</v>
      </c>
    </row>
    <row r="97" spans="1:18">
      <c r="A97" s="87" t="s">
        <v>8</v>
      </c>
      <c r="B97" s="87">
        <v>2</v>
      </c>
      <c r="C97" s="87">
        <v>0</v>
      </c>
      <c r="D97" s="87">
        <v>0</v>
      </c>
      <c r="E97" s="87">
        <v>2</v>
      </c>
      <c r="F97" s="87">
        <v>0</v>
      </c>
      <c r="G97" s="87"/>
      <c r="H97" s="87"/>
      <c r="I97" s="87"/>
      <c r="J97" s="87"/>
      <c r="K97" s="87"/>
      <c r="L97" s="87"/>
      <c r="M97" s="87"/>
      <c r="N97" s="87">
        <f t="shared" si="15"/>
        <v>4</v>
      </c>
    </row>
    <row r="98" spans="1:18">
      <c r="A98" s="87" t="s">
        <v>2</v>
      </c>
      <c r="B98" s="87">
        <v>25</v>
      </c>
      <c r="C98" s="87">
        <v>9</v>
      </c>
      <c r="D98" s="87">
        <v>69</v>
      </c>
      <c r="E98" s="87">
        <v>24</v>
      </c>
      <c r="F98" s="87">
        <v>47</v>
      </c>
      <c r="G98" s="87"/>
      <c r="H98" s="87"/>
      <c r="I98" s="87"/>
      <c r="J98" s="87"/>
      <c r="K98" s="87"/>
      <c r="L98" s="87"/>
      <c r="M98" s="87"/>
      <c r="N98" s="87">
        <f t="shared" si="15"/>
        <v>174</v>
      </c>
    </row>
    <row r="99" spans="1:18">
      <c r="A99" s="87" t="s">
        <v>5</v>
      </c>
      <c r="B99" s="87">
        <v>0</v>
      </c>
      <c r="C99" s="87">
        <v>1</v>
      </c>
      <c r="D99" s="87">
        <v>0</v>
      </c>
      <c r="E99" s="87">
        <v>2</v>
      </c>
      <c r="F99" s="87">
        <v>0</v>
      </c>
      <c r="G99" s="87"/>
      <c r="H99" s="87"/>
      <c r="I99" s="87"/>
      <c r="J99" s="87"/>
      <c r="K99" s="87"/>
      <c r="L99" s="87"/>
      <c r="M99" s="87"/>
      <c r="N99" s="87">
        <f t="shared" si="15"/>
        <v>3</v>
      </c>
    </row>
    <row r="100" spans="1:18">
      <c r="A100" s="87" t="s">
        <v>14</v>
      </c>
      <c r="B100" s="87">
        <v>0</v>
      </c>
      <c r="C100" s="87">
        <v>0</v>
      </c>
      <c r="D100" s="87">
        <v>0</v>
      </c>
      <c r="E100" s="87">
        <v>0</v>
      </c>
      <c r="F100" s="87">
        <v>0</v>
      </c>
      <c r="G100" s="87"/>
      <c r="H100" s="87"/>
      <c r="I100" s="87"/>
      <c r="J100" s="87"/>
      <c r="K100" s="87"/>
      <c r="L100" s="87"/>
      <c r="M100" s="87"/>
      <c r="N100" s="87">
        <f t="shared" si="15"/>
        <v>0</v>
      </c>
    </row>
    <row r="101" spans="1:18">
      <c r="A101" s="87" t="s">
        <v>3</v>
      </c>
      <c r="B101" s="87">
        <v>0</v>
      </c>
      <c r="C101" s="87">
        <v>0</v>
      </c>
      <c r="D101" s="87">
        <v>2</v>
      </c>
      <c r="E101" s="87">
        <v>1</v>
      </c>
      <c r="F101" s="87">
        <v>0</v>
      </c>
      <c r="G101" s="87"/>
      <c r="H101" s="87"/>
      <c r="I101" s="87"/>
      <c r="J101" s="87"/>
      <c r="K101" s="87"/>
      <c r="L101" s="87"/>
      <c r="M101" s="87"/>
      <c r="N101" s="87">
        <f t="shared" si="15"/>
        <v>3</v>
      </c>
    </row>
    <row r="102" spans="1:18">
      <c r="A102" s="87" t="s">
        <v>4</v>
      </c>
      <c r="B102" s="87">
        <v>53</v>
      </c>
      <c r="C102" s="87">
        <v>5</v>
      </c>
      <c r="D102" s="87">
        <v>0</v>
      </c>
      <c r="E102" s="87">
        <v>1</v>
      </c>
      <c r="F102" s="87">
        <v>2</v>
      </c>
      <c r="G102" s="87"/>
      <c r="H102" s="87"/>
      <c r="I102" s="87"/>
      <c r="J102" s="87"/>
      <c r="K102" s="87"/>
      <c r="L102" s="87"/>
      <c r="M102" s="87"/>
      <c r="N102" s="87">
        <f t="shared" si="15"/>
        <v>61</v>
      </c>
    </row>
    <row r="103" spans="1:18">
      <c r="A103" s="87" t="s">
        <v>10</v>
      </c>
      <c r="B103" s="87">
        <v>0</v>
      </c>
      <c r="C103" s="87">
        <v>1</v>
      </c>
      <c r="D103" s="87">
        <v>0</v>
      </c>
      <c r="E103" s="87">
        <v>0</v>
      </c>
      <c r="F103" s="87">
        <v>0</v>
      </c>
      <c r="G103" s="87"/>
      <c r="H103" s="87"/>
      <c r="I103" s="87"/>
      <c r="J103" s="87"/>
      <c r="K103" s="87"/>
      <c r="L103" s="87"/>
      <c r="M103" s="87"/>
      <c r="N103" s="87">
        <f t="shared" si="15"/>
        <v>1</v>
      </c>
    </row>
    <row r="104" spans="1:18">
      <c r="A104" s="87" t="s">
        <v>9</v>
      </c>
      <c r="B104" s="87">
        <v>10</v>
      </c>
      <c r="C104" s="87">
        <v>7</v>
      </c>
      <c r="D104" s="87">
        <v>10</v>
      </c>
      <c r="E104" s="87">
        <v>30</v>
      </c>
      <c r="F104" s="87">
        <v>11</v>
      </c>
      <c r="G104" s="87"/>
      <c r="H104" s="87"/>
      <c r="I104" s="87"/>
      <c r="J104" s="87"/>
      <c r="K104" s="87"/>
      <c r="L104" s="87"/>
      <c r="M104" s="87"/>
      <c r="N104" s="87">
        <f t="shared" si="15"/>
        <v>68</v>
      </c>
    </row>
    <row r="105" spans="1:18">
      <c r="A105" s="87" t="s">
        <v>7</v>
      </c>
      <c r="B105" s="87">
        <v>2</v>
      </c>
      <c r="C105" s="87">
        <v>0</v>
      </c>
      <c r="D105" s="87">
        <v>0</v>
      </c>
      <c r="E105" s="87">
        <v>0</v>
      </c>
      <c r="F105" s="87">
        <v>0</v>
      </c>
      <c r="G105" s="87"/>
      <c r="H105" s="87"/>
      <c r="I105" s="87"/>
      <c r="J105" s="87"/>
      <c r="K105" s="87"/>
      <c r="L105" s="87"/>
      <c r="M105" s="87"/>
      <c r="N105" s="87">
        <f t="shared" si="15"/>
        <v>2</v>
      </c>
    </row>
    <row r="106" spans="1:18">
      <c r="A106" s="87" t="s">
        <v>11</v>
      </c>
      <c r="B106" s="87">
        <v>17</v>
      </c>
      <c r="C106" s="87">
        <v>23</v>
      </c>
      <c r="D106" s="87">
        <v>9</v>
      </c>
      <c r="E106" s="87">
        <v>21</v>
      </c>
      <c r="F106" s="87">
        <v>5</v>
      </c>
      <c r="G106" s="87"/>
      <c r="H106" s="87"/>
      <c r="I106" s="87"/>
      <c r="J106" s="87"/>
      <c r="K106" s="87"/>
      <c r="L106" s="87"/>
      <c r="M106" s="87"/>
      <c r="N106" s="87">
        <f t="shared" si="15"/>
        <v>75</v>
      </c>
    </row>
    <row r="107" spans="1:18">
      <c r="A107" s="87" t="s">
        <v>12</v>
      </c>
      <c r="B107" s="87">
        <v>0</v>
      </c>
      <c r="C107" s="87">
        <v>1</v>
      </c>
      <c r="D107" s="87">
        <v>1</v>
      </c>
      <c r="E107" s="87">
        <v>0</v>
      </c>
      <c r="F107" s="87">
        <v>1</v>
      </c>
      <c r="G107" s="87"/>
      <c r="H107" s="87"/>
      <c r="I107" s="87"/>
      <c r="J107" s="87"/>
      <c r="K107" s="87"/>
      <c r="L107" s="87"/>
      <c r="M107" s="87"/>
      <c r="N107" s="87">
        <f t="shared" si="15"/>
        <v>3</v>
      </c>
    </row>
    <row r="108" spans="1:18">
      <c r="A108" s="87" t="s">
        <v>6</v>
      </c>
      <c r="B108" s="87">
        <v>3</v>
      </c>
      <c r="C108" s="87">
        <v>3</v>
      </c>
      <c r="D108" s="87">
        <v>0</v>
      </c>
      <c r="E108" s="87">
        <v>1</v>
      </c>
      <c r="F108" s="87">
        <v>1</v>
      </c>
      <c r="G108" s="87"/>
      <c r="H108" s="87"/>
      <c r="I108" s="87"/>
      <c r="J108" s="87"/>
      <c r="K108" s="87"/>
      <c r="L108" s="87"/>
      <c r="M108" s="87"/>
      <c r="N108" s="87">
        <f t="shared" si="15"/>
        <v>8</v>
      </c>
    </row>
    <row r="109" spans="1:18">
      <c r="A109" s="88" t="s">
        <v>125</v>
      </c>
      <c r="B109" s="89">
        <f t="shared" ref="B109:N109" si="16">SUM(B96:B108)</f>
        <v>142</v>
      </c>
      <c r="C109" s="89">
        <f t="shared" si="16"/>
        <v>58</v>
      </c>
      <c r="D109" s="89">
        <f t="shared" si="16"/>
        <v>91</v>
      </c>
      <c r="E109" s="89">
        <f t="shared" si="16"/>
        <v>86</v>
      </c>
      <c r="F109" s="89">
        <f t="shared" si="16"/>
        <v>82</v>
      </c>
      <c r="G109" s="89">
        <f t="shared" si="16"/>
        <v>0</v>
      </c>
      <c r="H109" s="89">
        <f t="shared" si="16"/>
        <v>0</v>
      </c>
      <c r="I109" s="89">
        <f t="shared" si="16"/>
        <v>0</v>
      </c>
      <c r="J109" s="89">
        <f t="shared" si="16"/>
        <v>0</v>
      </c>
      <c r="K109" s="89">
        <f t="shared" si="16"/>
        <v>0</v>
      </c>
      <c r="L109" s="89">
        <f t="shared" si="16"/>
        <v>0</v>
      </c>
      <c r="M109" s="89">
        <f t="shared" si="16"/>
        <v>0</v>
      </c>
      <c r="N109" s="89">
        <f t="shared" si="16"/>
        <v>459</v>
      </c>
    </row>
    <row r="110" spans="1:18">
      <c r="N110" s="28"/>
    </row>
    <row r="111" spans="1:18">
      <c r="N111" s="95"/>
      <c r="R111" s="28"/>
    </row>
    <row r="112" spans="1:18">
      <c r="N112" s="28"/>
      <c r="R112" s="28"/>
    </row>
    <row r="113" spans="1:14">
      <c r="A113" s="94" t="s">
        <v>147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</row>
    <row r="114" spans="1:14">
      <c r="A114" s="84" t="s">
        <v>79</v>
      </c>
      <c r="B114" s="84" t="s">
        <v>128</v>
      </c>
      <c r="C114" s="84" t="s">
        <v>129</v>
      </c>
      <c r="D114" s="84" t="s">
        <v>130</v>
      </c>
      <c r="E114" s="84" t="s">
        <v>131</v>
      </c>
      <c r="F114" s="84" t="s">
        <v>132</v>
      </c>
      <c r="G114" s="84" t="s">
        <v>133</v>
      </c>
      <c r="H114" s="84" t="s">
        <v>134</v>
      </c>
      <c r="I114" s="85" t="s">
        <v>135</v>
      </c>
      <c r="J114" s="85" t="s">
        <v>136</v>
      </c>
      <c r="K114" s="85" t="s">
        <v>137</v>
      </c>
      <c r="L114" s="85" t="s">
        <v>138</v>
      </c>
      <c r="M114" s="85" t="s">
        <v>139</v>
      </c>
      <c r="N114" s="85" t="s">
        <v>125</v>
      </c>
    </row>
    <row r="115" spans="1:14">
      <c r="A115" s="86" t="s">
        <v>13</v>
      </c>
      <c r="B115" s="96" t="e">
        <f>投诉评分!M3*10</f>
        <v>#DIV/0!</v>
      </c>
      <c r="C115" s="96">
        <f>投诉评分!AC3*10</f>
        <v>44.1558441558442</v>
      </c>
      <c r="D115" s="96">
        <f>投诉评分!M21*10</f>
        <v>52.6865671641791</v>
      </c>
      <c r="E115" s="96">
        <f>投诉评分!AC21*10</f>
        <v>59.0243902439024</v>
      </c>
      <c r="F115" s="96">
        <f>投诉评分!M39*10</f>
        <v>72.1875</v>
      </c>
      <c r="G115" s="96"/>
      <c r="H115" s="96"/>
      <c r="I115" s="96"/>
      <c r="J115" s="96"/>
      <c r="K115" s="96"/>
      <c r="L115" s="96"/>
      <c r="M115" s="96"/>
      <c r="N115" s="96">
        <f>投诉评分!M111*10</f>
        <v>56.1044176706827</v>
      </c>
    </row>
    <row r="116" spans="1:14">
      <c r="A116" s="87" t="s">
        <v>8</v>
      </c>
      <c r="B116" s="97" t="e">
        <f>投诉评分!M4</f>
        <v>#DIV/0!</v>
      </c>
      <c r="C116" s="97">
        <f>投诉评分!AC4*10</f>
        <v>52.1875</v>
      </c>
      <c r="D116" s="97">
        <f>投诉评分!M22*10</f>
        <v>50.1282051282051</v>
      </c>
      <c r="E116" s="97">
        <f>投诉评分!AC22*10</f>
        <v>50</v>
      </c>
      <c r="F116" s="97">
        <f>投诉评分!M40*10</f>
        <v>53.6440677966102</v>
      </c>
      <c r="G116" s="97"/>
      <c r="H116" s="97"/>
      <c r="I116" s="97"/>
      <c r="J116" s="97"/>
      <c r="K116" s="97"/>
      <c r="L116" s="97"/>
      <c r="M116" s="97"/>
      <c r="N116" s="97">
        <f>投诉评分!M112*10</f>
        <v>51.6049382716049</v>
      </c>
    </row>
    <row r="117" spans="1:14">
      <c r="A117" s="87" t="s">
        <v>2</v>
      </c>
      <c r="B117" s="97" t="e">
        <f>投诉评分!M5</f>
        <v>#DIV/0!</v>
      </c>
      <c r="C117" s="97">
        <f>投诉评分!AC5*10</f>
        <v>62</v>
      </c>
      <c r="D117" s="97">
        <f>投诉评分!M23*10</f>
        <v>52.2058823529412</v>
      </c>
      <c r="E117" s="97">
        <f>投诉评分!AC23*10</f>
        <v>67.5903614457831</v>
      </c>
      <c r="F117" s="97">
        <f>投诉评分!M41*10</f>
        <v>58.7272727272727</v>
      </c>
      <c r="G117" s="97"/>
      <c r="H117" s="97"/>
      <c r="I117" s="97"/>
      <c r="J117" s="97"/>
      <c r="K117" s="97"/>
      <c r="L117" s="97"/>
      <c r="M117" s="97"/>
      <c r="N117" s="97">
        <f>投诉评分!M113*10</f>
        <v>60.6405693950178</v>
      </c>
    </row>
    <row r="118" spans="1:14">
      <c r="A118" s="87" t="s">
        <v>5</v>
      </c>
      <c r="B118" s="97" t="e">
        <f>投诉评分!M6</f>
        <v>#DIV/0!</v>
      </c>
      <c r="C118" s="97">
        <f>投诉评分!AC6*10</f>
        <v>49.0265486725664</v>
      </c>
      <c r="D118" s="97">
        <f>投诉评分!M24*10</f>
        <v>50.8759124087591</v>
      </c>
      <c r="E118" s="97">
        <f>投诉评分!AC24*10</f>
        <v>46.3809523809524</v>
      </c>
      <c r="F118" s="97">
        <f>投诉评分!M42*10</f>
        <v>58.5087719298246</v>
      </c>
      <c r="G118" s="97"/>
      <c r="H118" s="97"/>
      <c r="I118" s="97"/>
      <c r="J118" s="97"/>
      <c r="K118" s="97"/>
      <c r="L118" s="97"/>
      <c r="M118" s="97"/>
      <c r="N118" s="97">
        <f>投诉评分!M114*10</f>
        <v>51.2793176972281</v>
      </c>
    </row>
    <row r="119" spans="1:14">
      <c r="A119" s="87" t="s">
        <v>14</v>
      </c>
      <c r="B119" s="97" t="e">
        <f>投诉评分!M7</f>
        <v>#DIV/0!</v>
      </c>
      <c r="C119" s="97">
        <f>投诉评分!AC7*10</f>
        <v>30.7692307692308</v>
      </c>
      <c r="D119" s="97">
        <f>投诉评分!M25*10</f>
        <v>39.6153846153846</v>
      </c>
      <c r="E119" s="97">
        <f>投诉评分!AC25*10</f>
        <v>45.4285714285714</v>
      </c>
      <c r="F119" s="97">
        <f>投诉评分!M43*10</f>
        <v>68.9473684210526</v>
      </c>
      <c r="G119" s="97"/>
      <c r="H119" s="97"/>
      <c r="I119" s="97"/>
      <c r="J119" s="97"/>
      <c r="K119" s="97"/>
      <c r="L119" s="97"/>
      <c r="M119" s="97"/>
      <c r="N119" s="97">
        <f>投诉评分!M115*10</f>
        <v>46.5591397849462</v>
      </c>
    </row>
    <row r="120" spans="1:14">
      <c r="A120" s="87" t="s">
        <v>3</v>
      </c>
      <c r="B120" s="97" t="e">
        <f>投诉评分!M8</f>
        <v>#DIV/0!</v>
      </c>
      <c r="C120" s="97">
        <f>投诉评分!AC8*10</f>
        <v>73.4</v>
      </c>
      <c r="D120" s="97">
        <f>投诉评分!M26*10</f>
        <v>83.1034482758621</v>
      </c>
      <c r="E120" s="97">
        <f>投诉评分!AC26*10</f>
        <v>70.0934579439252</v>
      </c>
      <c r="F120" s="97">
        <f>投诉评分!M44*10</f>
        <v>73.5454545454545</v>
      </c>
      <c r="G120" s="97"/>
      <c r="H120" s="97"/>
      <c r="I120" s="97"/>
      <c r="J120" s="97"/>
      <c r="K120" s="97"/>
      <c r="L120" s="97"/>
      <c r="M120" s="97"/>
      <c r="N120" s="97">
        <f>投诉评分!M116*10</f>
        <v>74.8305084745763</v>
      </c>
    </row>
    <row r="121" spans="1:14">
      <c r="A121" s="87" t="s">
        <v>4</v>
      </c>
      <c r="B121" s="97" t="e">
        <f>投诉评分!M9</f>
        <v>#DIV/0!</v>
      </c>
      <c r="C121" s="97">
        <f>投诉评分!AC9*10</f>
        <v>68.8135593220339</v>
      </c>
      <c r="D121" s="97">
        <f>投诉评分!M27*10</f>
        <v>80.2380952380952</v>
      </c>
      <c r="E121" s="97">
        <f>投诉评分!AC27*10</f>
        <v>82.5</v>
      </c>
      <c r="F121" s="97">
        <f>投诉评分!M45*10</f>
        <v>69.7058823529412</v>
      </c>
      <c r="G121" s="97"/>
      <c r="H121" s="97"/>
      <c r="I121" s="97"/>
      <c r="J121" s="97"/>
      <c r="K121" s="97"/>
      <c r="L121" s="97"/>
      <c r="M121" s="97"/>
      <c r="N121" s="97">
        <f>投诉评分!M117*10</f>
        <v>75.0485436893204</v>
      </c>
    </row>
    <row r="122" spans="1:14">
      <c r="A122" s="87" t="s">
        <v>10</v>
      </c>
      <c r="B122" s="97" t="e">
        <f>投诉评分!M10</f>
        <v>#DIV/0!</v>
      </c>
      <c r="C122" s="97">
        <f>投诉评分!AC10*10</f>
        <v>47.1578947368421</v>
      </c>
      <c r="D122" s="97">
        <f>投诉评分!M28*10</f>
        <v>49.2553191489362</v>
      </c>
      <c r="E122" s="97">
        <f>投诉评分!AC28*10</f>
        <v>58.595041322314</v>
      </c>
      <c r="F122" s="97">
        <f>投诉评分!M46*10</f>
        <v>53.2089552238806</v>
      </c>
      <c r="G122" s="97"/>
      <c r="H122" s="97"/>
      <c r="I122" s="97"/>
      <c r="J122" s="97"/>
      <c r="K122" s="97"/>
      <c r="L122" s="97"/>
      <c r="M122" s="97"/>
      <c r="N122" s="97">
        <f>投诉评分!M118*10</f>
        <v>52.545045045045</v>
      </c>
    </row>
    <row r="123" spans="1:14">
      <c r="A123" s="87" t="s">
        <v>9</v>
      </c>
      <c r="B123" s="97" t="e">
        <f>投诉评分!M11</f>
        <v>#DIV/0!</v>
      </c>
      <c r="C123" s="97">
        <f>投诉评分!AC11*10</f>
        <v>31.4925373134328</v>
      </c>
      <c r="D123" s="97">
        <f>投诉评分!M29*10</f>
        <v>31.6964285714286</v>
      </c>
      <c r="E123" s="97">
        <f>投诉评分!AC29*10</f>
        <v>32.1428571428571</v>
      </c>
      <c r="F123" s="97">
        <f>投诉评分!M47*10</f>
        <v>39.8850574712644</v>
      </c>
      <c r="G123" s="97"/>
      <c r="H123" s="97"/>
      <c r="I123" s="97"/>
      <c r="J123" s="97"/>
      <c r="K123" s="97"/>
      <c r="L123" s="97"/>
      <c r="M123" s="97"/>
      <c r="N123" s="97">
        <f>投诉评分!M119*10</f>
        <v>33.6772486772487</v>
      </c>
    </row>
    <row r="124" spans="1:14">
      <c r="A124" s="87" t="s">
        <v>7</v>
      </c>
      <c r="B124" s="97" t="e">
        <f>投诉评分!M12</f>
        <v>#DIV/0!</v>
      </c>
      <c r="C124" s="97">
        <f>投诉评分!AC12*10</f>
        <v>58.3333333333333</v>
      </c>
      <c r="D124" s="97">
        <f>投诉评分!M30*10</f>
        <v>75.8823529411765</v>
      </c>
      <c r="E124" s="97">
        <f>投诉评分!AC30*10</f>
        <v>55.8333333333333</v>
      </c>
      <c r="F124" s="97">
        <f>投诉评分!M48*10</f>
        <v>55.8333333333333</v>
      </c>
      <c r="G124" s="97"/>
      <c r="H124" s="97"/>
      <c r="I124" s="97"/>
      <c r="J124" s="97"/>
      <c r="K124" s="97"/>
      <c r="L124" s="97"/>
      <c r="M124" s="97"/>
      <c r="N124" s="97">
        <f>投诉评分!M120*10</f>
        <v>63.7234042553192</v>
      </c>
    </row>
    <row r="125" spans="1:14">
      <c r="A125" s="87" t="s">
        <v>11</v>
      </c>
      <c r="B125" s="97" t="e">
        <f>投诉评分!M13</f>
        <v>#DIV/0!</v>
      </c>
      <c r="C125" s="97">
        <f>投诉评分!AC13*10</f>
        <v>53.7362637362637</v>
      </c>
      <c r="D125" s="97">
        <f>投诉评分!M31*10</f>
        <v>57.0833333333333</v>
      </c>
      <c r="E125" s="97">
        <f>投诉评分!AC31*10</f>
        <v>55.1020408163265</v>
      </c>
      <c r="F125" s="97">
        <f>投诉评分!M49*10</f>
        <v>61.4772727272727</v>
      </c>
      <c r="G125" s="97"/>
      <c r="H125" s="97"/>
      <c r="I125" s="97"/>
      <c r="J125" s="97"/>
      <c r="K125" s="97"/>
      <c r="L125" s="97"/>
      <c r="M125" s="97"/>
      <c r="N125" s="97">
        <f>投诉评分!M121*10</f>
        <v>57.2158154859967</v>
      </c>
    </row>
    <row r="126" spans="1:14">
      <c r="A126" s="87" t="s">
        <v>12</v>
      </c>
      <c r="B126" s="97" t="e">
        <f>投诉评分!M14</f>
        <v>#DIV/0!</v>
      </c>
      <c r="C126" s="97">
        <f>投诉评分!AC14*10</f>
        <v>71</v>
      </c>
      <c r="D126" s="97">
        <f>投诉评分!M32*10</f>
        <v>55</v>
      </c>
      <c r="E126" s="97">
        <f>投诉评分!AC32*10</f>
        <v>22.2727272727273</v>
      </c>
      <c r="F126" s="97">
        <f>投诉评分!M50*10</f>
        <v>46.8</v>
      </c>
      <c r="G126" s="97"/>
      <c r="H126" s="97"/>
      <c r="I126" s="97"/>
      <c r="J126" s="97"/>
      <c r="K126" s="97"/>
      <c r="L126" s="97"/>
      <c r="M126" s="97"/>
      <c r="N126" s="97">
        <f>投诉评分!M122*10</f>
        <v>34.7706422018349</v>
      </c>
    </row>
    <row r="127" spans="1:14">
      <c r="A127" s="87" t="s">
        <v>6</v>
      </c>
      <c r="B127" s="97" t="e">
        <f>投诉评分!M15</f>
        <v>#DIV/0!</v>
      </c>
      <c r="C127" s="97">
        <f>投诉评分!AC15*10</f>
        <v>64.375</v>
      </c>
      <c r="D127" s="97">
        <f>投诉评分!M33*10</f>
        <v>60.4615384615385</v>
      </c>
      <c r="E127" s="97">
        <f>投诉评分!AC33*10</f>
        <v>49.8901098901099</v>
      </c>
      <c r="F127" s="97">
        <f>投诉评分!M51*10</f>
        <v>54.5263157894737</v>
      </c>
      <c r="G127" s="97"/>
      <c r="H127" s="97"/>
      <c r="I127" s="97"/>
      <c r="J127" s="97"/>
      <c r="K127" s="97"/>
      <c r="L127" s="97"/>
      <c r="M127" s="97"/>
      <c r="N127" s="97">
        <f>投诉评分!M123*10</f>
        <v>56.4126984126984</v>
      </c>
    </row>
    <row r="128" spans="1:14">
      <c r="A128" s="88" t="s">
        <v>125</v>
      </c>
      <c r="B128" s="98" t="e">
        <f>投诉评分!M16</f>
        <v>#DIV/0!</v>
      </c>
      <c r="C128" s="98">
        <f>投诉评分!AC16*10</f>
        <v>53.2853717026379</v>
      </c>
      <c r="D128" s="98">
        <f>投诉评分!M34*10</f>
        <v>56.0856573705179</v>
      </c>
      <c r="E128" s="98">
        <f>投诉评分!AC34*10</f>
        <v>53.3333333333333</v>
      </c>
      <c r="F128" s="98">
        <f>投诉评分!M52*10</f>
        <v>59.2259225922592</v>
      </c>
      <c r="G128" s="98"/>
      <c r="H128" s="98"/>
      <c r="I128" s="98"/>
      <c r="J128" s="98"/>
      <c r="K128" s="98"/>
      <c r="L128" s="98"/>
      <c r="M128" s="98"/>
      <c r="N128" s="98">
        <f>投诉评分!M124*10</f>
        <v>55.5904553201851</v>
      </c>
    </row>
    <row r="129" spans="14:14">
      <c r="N129" s="28"/>
    </row>
    <row r="130" spans="14:14">
      <c r="N130" s="28"/>
    </row>
  </sheetData>
  <protectedRanges>
    <protectedRange sqref="AN17:AQ17 AI17 AK17:AQ17 AJ17 W15" name="区域1_4"/>
    <protectedRange sqref="AN17:AQ17" name="区域1_3"/>
    <protectedRange sqref="AK18 AQ3:AQ15" name="区域1_6"/>
    <protectedRange sqref="E96:E108" name="区域1_6_3"/>
    <protectedRange sqref="AO3:AO6" name="区域1"/>
    <protectedRange sqref="AI18 AK18" name="区域1_3_1"/>
  </protectedRanges>
  <mergeCells count="7">
    <mergeCell ref="A3:M3"/>
    <mergeCell ref="A21:N21"/>
    <mergeCell ref="A39:N39"/>
    <mergeCell ref="A57:N57"/>
    <mergeCell ref="A76:N76"/>
    <mergeCell ref="A94:N94"/>
    <mergeCell ref="A113:N113"/>
  </mergeCells>
  <conditionalFormatting sqref="S5:S17">
    <cfRule type="cellIs" dxfId="0" priority="1" operator="greaterThan">
      <formula>50</formula>
    </cfRule>
  </conditionalFormatting>
  <conditionalFormatting sqref="B5:M17">
    <cfRule type="cellIs" dxfId="1" priority="3" operator="lessThan">
      <formula>0.75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6"/>
  <sheetViews>
    <sheetView workbookViewId="0">
      <selection activeCell="Q34" sqref="Q34"/>
    </sheetView>
  </sheetViews>
  <sheetFormatPr defaultColWidth="9" defaultRowHeight="14.25"/>
  <cols>
    <col min="2" max="2" width="14.5" customWidth="1"/>
    <col min="3" max="5" width="15.125" customWidth="1"/>
  </cols>
  <sheetData>
    <row r="2" ht="16.5" spans="2:9">
      <c r="B2" s="58" t="s">
        <v>79</v>
      </c>
      <c r="C2" s="58" t="s">
        <v>148</v>
      </c>
      <c r="D2" s="58" t="s">
        <v>149</v>
      </c>
      <c r="E2" s="58" t="s">
        <v>150</v>
      </c>
      <c r="G2" s="58" t="s">
        <v>79</v>
      </c>
      <c r="H2" s="58" t="s">
        <v>80</v>
      </c>
      <c r="I2" s="58" t="s">
        <v>81</v>
      </c>
    </row>
    <row r="3" ht="16.5" spans="2:9">
      <c r="B3" s="61" t="s">
        <v>13</v>
      </c>
      <c r="C3" s="34"/>
      <c r="D3" s="34"/>
      <c r="E3" s="69"/>
      <c r="G3" s="61" t="s">
        <v>13</v>
      </c>
      <c r="H3" s="67">
        <f>(100*C3*50%+100*D3*50%)*E3</f>
        <v>0</v>
      </c>
      <c r="I3" s="63">
        <f>H3*0.1</f>
        <v>0</v>
      </c>
    </row>
    <row r="4" ht="16.5" spans="2:9">
      <c r="B4" s="61" t="s">
        <v>8</v>
      </c>
      <c r="C4" s="34"/>
      <c r="D4" s="34"/>
      <c r="E4" s="69"/>
      <c r="G4" s="61" t="s">
        <v>8</v>
      </c>
      <c r="H4" s="67">
        <f t="shared" ref="H4:H16" si="0">(100*C4*50%+100*D4*50%)*E4</f>
        <v>0</v>
      </c>
      <c r="I4" s="63">
        <f t="shared" ref="I3:I16" si="1">H4*0.1</f>
        <v>0</v>
      </c>
    </row>
    <row r="5" ht="16.5" spans="2:9">
      <c r="B5" s="61" t="s">
        <v>2</v>
      </c>
      <c r="C5" s="34"/>
      <c r="D5" s="34"/>
      <c r="E5" s="69"/>
      <c r="G5" s="61" t="s">
        <v>2</v>
      </c>
      <c r="H5" s="67">
        <f t="shared" si="0"/>
        <v>0</v>
      </c>
      <c r="I5" s="63">
        <f t="shared" si="1"/>
        <v>0</v>
      </c>
    </row>
    <row r="6" ht="16.5" spans="2:9">
      <c r="B6" s="61" t="s">
        <v>5</v>
      </c>
      <c r="C6" s="34"/>
      <c r="D6" s="34"/>
      <c r="E6" s="69"/>
      <c r="G6" s="61" t="s">
        <v>5</v>
      </c>
      <c r="H6" s="67">
        <f t="shared" si="0"/>
        <v>0</v>
      </c>
      <c r="I6" s="63">
        <f t="shared" si="1"/>
        <v>0</v>
      </c>
    </row>
    <row r="7" ht="16.5" spans="2:9">
      <c r="B7" s="61" t="s">
        <v>14</v>
      </c>
      <c r="C7" s="34"/>
      <c r="D7" s="34"/>
      <c r="E7" s="69"/>
      <c r="G7" s="61" t="s">
        <v>14</v>
      </c>
      <c r="H7" s="67">
        <f t="shared" si="0"/>
        <v>0</v>
      </c>
      <c r="I7" s="63">
        <f t="shared" si="1"/>
        <v>0</v>
      </c>
    </row>
    <row r="8" ht="16.5" spans="2:9">
      <c r="B8" s="61" t="s">
        <v>3</v>
      </c>
      <c r="C8" s="34"/>
      <c r="D8" s="34"/>
      <c r="E8" s="69"/>
      <c r="G8" s="61" t="s">
        <v>3</v>
      </c>
      <c r="H8" s="67">
        <f t="shared" si="0"/>
        <v>0</v>
      </c>
      <c r="I8" s="63">
        <f t="shared" si="1"/>
        <v>0</v>
      </c>
    </row>
    <row r="9" ht="16.5" spans="2:9">
      <c r="B9" s="61" t="s">
        <v>4</v>
      </c>
      <c r="C9" s="34"/>
      <c r="D9" s="34"/>
      <c r="E9" s="69"/>
      <c r="G9" s="61" t="s">
        <v>4</v>
      </c>
      <c r="H9" s="67">
        <f t="shared" si="0"/>
        <v>0</v>
      </c>
      <c r="I9" s="63">
        <f t="shared" si="1"/>
        <v>0</v>
      </c>
    </row>
    <row r="10" ht="16.5" spans="2:9">
      <c r="B10" s="61" t="s">
        <v>10</v>
      </c>
      <c r="C10" s="34"/>
      <c r="D10" s="34"/>
      <c r="E10" s="69"/>
      <c r="G10" s="61" t="s">
        <v>10</v>
      </c>
      <c r="H10" s="67">
        <f t="shared" si="0"/>
        <v>0</v>
      </c>
      <c r="I10" s="63">
        <f t="shared" si="1"/>
        <v>0</v>
      </c>
    </row>
    <row r="11" ht="16.5" spans="2:9">
      <c r="B11" s="61" t="s">
        <v>9</v>
      </c>
      <c r="C11" s="34"/>
      <c r="D11" s="34"/>
      <c r="E11" s="69"/>
      <c r="G11" s="61" t="s">
        <v>9</v>
      </c>
      <c r="H11" s="67">
        <f t="shared" si="0"/>
        <v>0</v>
      </c>
      <c r="I11" s="63">
        <f t="shared" si="1"/>
        <v>0</v>
      </c>
    </row>
    <row r="12" ht="16.5" spans="2:9">
      <c r="B12" s="61" t="s">
        <v>7</v>
      </c>
      <c r="C12" s="34"/>
      <c r="D12" s="34"/>
      <c r="E12" s="69"/>
      <c r="G12" s="61" t="s">
        <v>7</v>
      </c>
      <c r="H12" s="67">
        <f t="shared" si="0"/>
        <v>0</v>
      </c>
      <c r="I12" s="63">
        <f t="shared" si="1"/>
        <v>0</v>
      </c>
    </row>
    <row r="13" ht="16.5" spans="2:9">
      <c r="B13" s="61" t="s">
        <v>11</v>
      </c>
      <c r="C13" s="34"/>
      <c r="D13" s="34"/>
      <c r="E13" s="69"/>
      <c r="G13" s="61" t="s">
        <v>11</v>
      </c>
      <c r="H13" s="67">
        <f t="shared" si="0"/>
        <v>0</v>
      </c>
      <c r="I13" s="63">
        <f t="shared" si="1"/>
        <v>0</v>
      </c>
    </row>
    <row r="14" ht="16.5" spans="2:9">
      <c r="B14" s="61" t="s">
        <v>12</v>
      </c>
      <c r="C14" s="34"/>
      <c r="D14" s="34"/>
      <c r="E14" s="69"/>
      <c r="G14" s="61" t="s">
        <v>12</v>
      </c>
      <c r="H14" s="67">
        <f t="shared" si="0"/>
        <v>0</v>
      </c>
      <c r="I14" s="63">
        <f t="shared" si="1"/>
        <v>0</v>
      </c>
    </row>
    <row r="15" ht="16.5" spans="2:9">
      <c r="B15" s="61" t="s">
        <v>6</v>
      </c>
      <c r="C15" s="34"/>
      <c r="D15" s="34"/>
      <c r="E15" s="69"/>
      <c r="G15" s="61" t="s">
        <v>6</v>
      </c>
      <c r="H15" s="67">
        <f t="shared" si="0"/>
        <v>0</v>
      </c>
      <c r="I15" s="63">
        <f t="shared" si="1"/>
        <v>0</v>
      </c>
    </row>
    <row r="16" ht="16.5" spans="2:9">
      <c r="B16" s="61" t="s">
        <v>86</v>
      </c>
      <c r="C16" s="34"/>
      <c r="D16" s="34"/>
      <c r="E16" s="69"/>
      <c r="G16" s="61" t="s">
        <v>86</v>
      </c>
      <c r="H16" s="67">
        <f t="shared" si="0"/>
        <v>0</v>
      </c>
      <c r="I16" s="63">
        <f t="shared" si="1"/>
        <v>0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B1:O33"/>
  <sheetViews>
    <sheetView zoomScale="90" zoomScaleNormal="90" workbookViewId="0">
      <selection activeCell="U26" sqref="U26"/>
    </sheetView>
  </sheetViews>
  <sheetFormatPr defaultColWidth="9" defaultRowHeight="16.5"/>
  <cols>
    <col min="1" max="2" width="9" style="55"/>
    <col min="3" max="4" width="9.75" style="55"/>
    <col min="5" max="16384" width="9" style="55"/>
  </cols>
  <sheetData>
    <row r="1" s="54" customFormat="1"/>
    <row r="2" s="54" customFormat="1" spans="2:15">
      <c r="B2" s="56" t="s">
        <v>79</v>
      </c>
      <c r="C2" s="56" t="s">
        <v>151</v>
      </c>
      <c r="D2" s="56" t="s">
        <v>152</v>
      </c>
      <c r="E2" s="56" t="s">
        <v>153</v>
      </c>
      <c r="F2" s="56" t="s">
        <v>154</v>
      </c>
      <c r="G2" s="56" t="s">
        <v>155</v>
      </c>
      <c r="H2" s="57" t="s">
        <v>156</v>
      </c>
      <c r="J2" s="58" t="s">
        <v>79</v>
      </c>
      <c r="K2" s="58" t="s">
        <v>80</v>
      </c>
      <c r="L2" s="58" t="s">
        <v>81</v>
      </c>
    </row>
    <row r="3" s="54" customFormat="1" spans="2:15">
      <c r="B3" s="56" t="s">
        <v>13</v>
      </c>
      <c r="C3" s="57"/>
      <c r="D3" s="57"/>
      <c r="E3" s="59"/>
      <c r="F3" s="59"/>
      <c r="G3" s="59"/>
      <c r="H3" s="60"/>
      <c r="J3" s="61" t="s">
        <v>13</v>
      </c>
      <c r="K3" s="62">
        <v>120</v>
      </c>
      <c r="L3" s="63">
        <f>K3*0.05</f>
        <v>6</v>
      </c>
      <c r="O3" s="64"/>
    </row>
    <row r="4" s="54" customFormat="1" spans="2:15">
      <c r="B4" s="56" t="s">
        <v>8</v>
      </c>
      <c r="C4" s="57"/>
      <c r="D4" s="57"/>
      <c r="E4" s="65"/>
      <c r="F4" s="65"/>
      <c r="G4" s="65"/>
      <c r="H4" s="60"/>
      <c r="I4" s="66"/>
      <c r="J4" s="61" t="s">
        <v>8</v>
      </c>
      <c r="K4" s="67">
        <v>113.497970967731</v>
      </c>
      <c r="L4" s="63">
        <f t="shared" ref="L4:L16" si="0">K4*0.05</f>
        <v>5.67489854838655</v>
      </c>
      <c r="M4" s="66"/>
      <c r="O4" s="64"/>
    </row>
    <row r="5" s="54" customFormat="1" spans="2:15">
      <c r="B5" s="56" t="s">
        <v>2</v>
      </c>
      <c r="C5" s="57"/>
      <c r="D5" s="57"/>
      <c r="E5" s="59"/>
      <c r="F5" s="59"/>
      <c r="G5" s="59"/>
      <c r="H5" s="60"/>
      <c r="I5" s="66"/>
      <c r="J5" s="61" t="s">
        <v>2</v>
      </c>
      <c r="K5" s="67">
        <v>119.040022022475</v>
      </c>
      <c r="L5" s="63">
        <f t="shared" si="0"/>
        <v>5.95200110112375</v>
      </c>
      <c r="M5" s="66"/>
      <c r="O5" s="64"/>
    </row>
    <row r="6" s="54" customFormat="1" spans="2:15">
      <c r="B6" s="56" t="s">
        <v>5</v>
      </c>
      <c r="C6" s="57"/>
      <c r="D6" s="57"/>
      <c r="E6" s="59"/>
      <c r="F6" s="59"/>
      <c r="G6" s="59"/>
      <c r="H6" s="60"/>
      <c r="I6" s="66"/>
      <c r="J6" s="61" t="s">
        <v>5</v>
      </c>
      <c r="K6" s="62">
        <v>120</v>
      </c>
      <c r="L6" s="63">
        <f t="shared" si="0"/>
        <v>6</v>
      </c>
      <c r="M6" s="66"/>
      <c r="O6" s="64"/>
    </row>
    <row r="7" s="54" customFormat="1" spans="2:15">
      <c r="B7" s="56" t="s">
        <v>14</v>
      </c>
      <c r="C7" s="57"/>
      <c r="D7" s="57"/>
      <c r="E7" s="59"/>
      <c r="F7" s="59"/>
      <c r="G7" s="59"/>
      <c r="H7" s="60"/>
      <c r="I7" s="66"/>
      <c r="J7" s="61" t="s">
        <v>14</v>
      </c>
      <c r="K7" s="62">
        <v>120</v>
      </c>
      <c r="L7" s="63">
        <f t="shared" si="0"/>
        <v>6</v>
      </c>
      <c r="M7" s="66"/>
      <c r="O7" s="64"/>
    </row>
    <row r="8" s="54" customFormat="1" spans="2:15">
      <c r="B8" s="56" t="s">
        <v>3</v>
      </c>
      <c r="C8" s="57"/>
      <c r="D8" s="57"/>
      <c r="E8" s="59"/>
      <c r="F8" s="59"/>
      <c r="G8" s="59"/>
      <c r="H8" s="60"/>
      <c r="I8" s="66"/>
      <c r="J8" s="61" t="s">
        <v>3</v>
      </c>
      <c r="K8" s="67">
        <v>111.357048038895</v>
      </c>
      <c r="L8" s="63">
        <f t="shared" si="0"/>
        <v>5.56785240194475</v>
      </c>
      <c r="M8" s="66"/>
      <c r="O8" s="64"/>
    </row>
    <row r="9" s="54" customFormat="1" spans="2:15">
      <c r="B9" s="56" t="s">
        <v>4</v>
      </c>
      <c r="C9" s="57"/>
      <c r="D9" s="57"/>
      <c r="E9" s="59"/>
      <c r="F9" s="59"/>
      <c r="G9" s="59"/>
      <c r="H9" s="60"/>
      <c r="I9" s="66"/>
      <c r="J9" s="61" t="s">
        <v>4</v>
      </c>
      <c r="K9" s="67">
        <v>79.4138505640492</v>
      </c>
      <c r="L9" s="63">
        <f t="shared" si="0"/>
        <v>3.97069252820246</v>
      </c>
      <c r="M9" s="66"/>
      <c r="O9" s="64"/>
    </row>
    <row r="10" s="54" customFormat="1" spans="2:15">
      <c r="B10" s="56" t="s">
        <v>10</v>
      </c>
      <c r="C10" s="57"/>
      <c r="D10" s="57"/>
      <c r="E10" s="59"/>
      <c r="F10" s="59"/>
      <c r="G10" s="59"/>
      <c r="H10" s="60"/>
      <c r="I10" s="66"/>
      <c r="J10" s="61" t="s">
        <v>10</v>
      </c>
      <c r="K10" s="62">
        <v>120</v>
      </c>
      <c r="L10" s="63">
        <f t="shared" si="0"/>
        <v>6</v>
      </c>
      <c r="M10" s="66"/>
      <c r="O10" s="64"/>
    </row>
    <row r="11" s="54" customFormat="1" spans="2:15">
      <c r="B11" s="56" t="s">
        <v>9</v>
      </c>
      <c r="C11" s="57"/>
      <c r="D11" s="57"/>
      <c r="E11" s="59"/>
      <c r="F11" s="59"/>
      <c r="G11" s="59"/>
      <c r="H11" s="60"/>
      <c r="I11" s="66"/>
      <c r="J11" s="61" t="s">
        <v>9</v>
      </c>
      <c r="K11" s="67">
        <v>99.557215131395</v>
      </c>
      <c r="L11" s="63">
        <f t="shared" si="0"/>
        <v>4.97786075656975</v>
      </c>
      <c r="M11" s="66"/>
      <c r="O11" s="64"/>
    </row>
    <row r="12" s="54" customFormat="1" spans="2:15">
      <c r="B12" s="56" t="s">
        <v>7</v>
      </c>
      <c r="C12" s="57"/>
      <c r="D12" s="57"/>
      <c r="E12" s="59"/>
      <c r="F12" s="59"/>
      <c r="G12" s="59"/>
      <c r="H12" s="60"/>
      <c r="I12" s="66"/>
      <c r="J12" s="61" t="s">
        <v>7</v>
      </c>
      <c r="K12" s="62">
        <v>120</v>
      </c>
      <c r="L12" s="63">
        <f t="shared" si="0"/>
        <v>6</v>
      </c>
      <c r="M12" s="66"/>
      <c r="O12" s="64"/>
    </row>
    <row r="13" s="54" customFormat="1" spans="2:15">
      <c r="B13" s="56" t="s">
        <v>11</v>
      </c>
      <c r="C13" s="57"/>
      <c r="D13" s="57"/>
      <c r="E13" s="59"/>
      <c r="F13" s="59"/>
      <c r="G13" s="59"/>
      <c r="H13" s="60"/>
      <c r="I13" s="66"/>
      <c r="J13" s="61" t="s">
        <v>11</v>
      </c>
      <c r="K13" s="67">
        <v>115.432055761196</v>
      </c>
      <c r="L13" s="63">
        <f t="shared" si="0"/>
        <v>5.7716027880598</v>
      </c>
      <c r="M13" s="66"/>
      <c r="O13" s="64"/>
    </row>
    <row r="14" s="54" customFormat="1" spans="2:15">
      <c r="B14" s="56" t="s">
        <v>12</v>
      </c>
      <c r="C14" s="57"/>
      <c r="D14" s="57"/>
      <c r="E14" s="59"/>
      <c r="F14" s="59"/>
      <c r="G14" s="59"/>
      <c r="H14" s="60"/>
      <c r="I14" s="66"/>
      <c r="J14" s="61" t="s">
        <v>12</v>
      </c>
      <c r="K14" s="67">
        <v>75.8247269694929</v>
      </c>
      <c r="L14" s="63">
        <f t="shared" si="0"/>
        <v>3.79123634847464</v>
      </c>
      <c r="M14" s="66"/>
      <c r="O14" s="64"/>
    </row>
    <row r="15" s="54" customFormat="1" spans="2:15">
      <c r="B15" s="56" t="s">
        <v>6</v>
      </c>
      <c r="C15" s="57"/>
      <c r="D15" s="57"/>
      <c r="E15" s="59"/>
      <c r="F15" s="59"/>
      <c r="G15" s="59"/>
      <c r="H15" s="60"/>
      <c r="I15" s="66"/>
      <c r="J15" s="61" t="s">
        <v>6</v>
      </c>
      <c r="K15" s="67">
        <v>70.6051704869094</v>
      </c>
      <c r="L15" s="63">
        <f t="shared" si="0"/>
        <v>3.53025852434547</v>
      </c>
      <c r="M15" s="66"/>
      <c r="O15" s="64"/>
    </row>
    <row r="16" s="54" customFormat="1" spans="2:15">
      <c r="B16" s="56" t="s">
        <v>86</v>
      </c>
      <c r="C16" s="57"/>
      <c r="D16" s="57"/>
      <c r="E16" s="59"/>
      <c r="F16" s="59"/>
      <c r="G16" s="59"/>
      <c r="H16" s="60"/>
      <c r="I16" s="66"/>
      <c r="J16" s="61" t="s">
        <v>86</v>
      </c>
      <c r="K16" s="67">
        <v>112.555351536023</v>
      </c>
      <c r="L16" s="63">
        <f t="shared" si="0"/>
        <v>5.62776757680115</v>
      </c>
      <c r="M16" s="66"/>
      <c r="O16" s="64"/>
    </row>
    <row r="17" s="54" customFormat="1" spans="6:13">
      <c r="F17" s="66"/>
      <c r="G17" s="66"/>
      <c r="H17" s="66"/>
      <c r="I17" s="66"/>
      <c r="K17" s="68"/>
      <c r="L17" s="66"/>
      <c r="M17" s="66"/>
    </row>
    <row r="18" s="54" customFormat="1"/>
    <row r="19" s="54" customFormat="1"/>
    <row r="20" s="54" customFormat="1"/>
    <row r="21" s="54" customFormat="1"/>
    <row r="22" s="54" customFormat="1"/>
    <row r="23" s="54" customFormat="1"/>
    <row r="24" s="54" customFormat="1"/>
    <row r="25" s="54" customFormat="1"/>
    <row r="26" s="54" customFormat="1"/>
    <row r="27" s="54" customFormat="1"/>
    <row r="28" s="54" customFormat="1"/>
    <row r="29" s="54" customFormat="1"/>
    <row r="30" s="54" customFormat="1"/>
    <row r="31" s="54" customFormat="1"/>
    <row r="32" s="54" customFormat="1"/>
    <row r="33" s="54" customFormat="1"/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T35"/>
  <sheetViews>
    <sheetView zoomScale="85" zoomScaleNormal="85" workbookViewId="0">
      <selection activeCell="F3" sqref="F3:F16"/>
    </sheetView>
  </sheetViews>
  <sheetFormatPr defaultColWidth="9" defaultRowHeight="18" customHeight="1"/>
  <cols>
    <col min="1" max="1" width="13.1333333333333" style="9" customWidth="1"/>
    <col min="2" max="8" width="12.6333333333333" style="9" customWidth="1"/>
    <col min="9" max="9" width="14.4" style="9" customWidth="1"/>
    <col min="10" max="10" width="14.85" style="9" customWidth="1"/>
    <col min="11" max="11" width="12.6333333333333" style="9" customWidth="1"/>
    <col min="12" max="12" width="15.875" style="9" customWidth="1"/>
    <col min="13" max="14" width="12.6333333333333" style="9" customWidth="1"/>
    <col min="15" max="15" width="9.13333333333333" style="9" customWidth="1"/>
    <col min="16" max="18" width="9" style="9"/>
    <col min="19" max="20" width="13.75" style="9"/>
    <col min="21" max="24" width="9" style="9"/>
    <col min="25" max="25" width="10.1333333333333" style="9"/>
    <col min="26" max="16378" width="9" style="9"/>
  </cols>
  <sheetData>
    <row r="1" customHeight="1" spans="1:20">
      <c r="A1" s="40" t="s">
        <v>157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customHeight="1" spans="1:20">
      <c r="A2" s="41" t="s">
        <v>79</v>
      </c>
      <c r="B2" s="41" t="s">
        <v>128</v>
      </c>
      <c r="C2" s="41" t="s">
        <v>129</v>
      </c>
      <c r="D2" s="41" t="s">
        <v>130</v>
      </c>
      <c r="E2" s="41" t="s">
        <v>131</v>
      </c>
      <c r="F2" s="41" t="s">
        <v>132</v>
      </c>
      <c r="G2" s="41" t="s">
        <v>133</v>
      </c>
      <c r="H2" s="41" t="s">
        <v>134</v>
      </c>
      <c r="I2" s="41" t="s">
        <v>135</v>
      </c>
      <c r="J2" s="41" t="s">
        <v>136</v>
      </c>
      <c r="K2" s="41" t="s">
        <v>137</v>
      </c>
      <c r="L2" s="41" t="s">
        <v>138</v>
      </c>
      <c r="M2" s="41" t="s">
        <v>139</v>
      </c>
      <c r="N2" s="42" t="s">
        <v>158</v>
      </c>
      <c r="O2" s="43" t="s">
        <v>79</v>
      </c>
      <c r="P2" s="44" t="s">
        <v>159</v>
      </c>
      <c r="Q2" s="45" t="s">
        <v>80</v>
      </c>
      <c r="R2" s="9" t="s">
        <v>81</v>
      </c>
    </row>
    <row r="3" customHeight="1" spans="1:20">
      <c r="A3" s="11" t="s">
        <v>13</v>
      </c>
      <c r="B3" s="38">
        <v>0.903345724907063</v>
      </c>
      <c r="C3" s="38"/>
      <c r="D3" s="38">
        <v>0.906882591093117</v>
      </c>
      <c r="E3" s="38">
        <v>0.888888888888889</v>
      </c>
      <c r="F3" s="38">
        <v>0.912903225806452</v>
      </c>
      <c r="G3" s="38"/>
      <c r="H3" s="38"/>
      <c r="I3" s="38"/>
      <c r="J3" s="38"/>
      <c r="K3" s="38"/>
      <c r="L3" s="38"/>
      <c r="M3" s="38"/>
      <c r="N3" s="46">
        <f>AVERAGE(B3:M3)</f>
        <v>0.90300510767388</v>
      </c>
      <c r="O3" s="47" t="s">
        <v>13</v>
      </c>
      <c r="P3" s="48">
        <f>AVERAGE(B3:M3)</f>
        <v>0.90300510767388</v>
      </c>
      <c r="Q3" s="49">
        <f>ROUND(IF(P3&gt;=95%,100,IF(P3&gt;=75%,100-(95%-P3)/1%*3,40)),1)</f>
        <v>85.9</v>
      </c>
      <c r="R3" s="50">
        <f t="shared" ref="R3:R15" si="0">Q3*0.05</f>
        <v>4.295</v>
      </c>
      <c r="S3" s="9">
        <v>0.903345724907063</v>
      </c>
      <c r="T3" s="9">
        <v>0.440329218106996</v>
      </c>
    </row>
    <row r="4" customHeight="1" spans="1:20">
      <c r="A4" s="11" t="s">
        <v>8</v>
      </c>
      <c r="B4" s="38">
        <v>0.9</v>
      </c>
      <c r="C4" s="38"/>
      <c r="D4" s="38">
        <v>0.941120607787274</v>
      </c>
      <c r="E4" s="38">
        <v>0.996984924623116</v>
      </c>
      <c r="F4" s="38">
        <v>0.89963167587477</v>
      </c>
      <c r="G4" s="38"/>
      <c r="H4" s="38"/>
      <c r="I4" s="38"/>
      <c r="J4" s="38"/>
      <c r="K4" s="38"/>
      <c r="L4" s="38"/>
      <c r="M4" s="38"/>
      <c r="N4" s="46">
        <f t="shared" ref="N4:N16" si="1">AVERAGE(B4:M4)</f>
        <v>0.93443430207129</v>
      </c>
      <c r="O4" s="47" t="s">
        <v>8</v>
      </c>
      <c r="P4" s="48">
        <f t="shared" ref="P4:P16" si="2">AVERAGE(B4:M4)</f>
        <v>0.93443430207129</v>
      </c>
      <c r="Q4" s="49">
        <f t="shared" ref="Q4:Q15" si="3">ROUND(IF(P4&gt;=95%,100,IF(P4&gt;=75%,100-(95%-P4)/1%*3,40)),1)</f>
        <v>95.3</v>
      </c>
      <c r="R4" s="50">
        <f t="shared" si="0"/>
        <v>4.765</v>
      </c>
      <c r="S4" s="9">
        <v>0.9</v>
      </c>
      <c r="T4" s="9">
        <v>0.462046204620462</v>
      </c>
    </row>
    <row r="5" customHeight="1" spans="1:20">
      <c r="A5" s="11" t="s">
        <v>2</v>
      </c>
      <c r="B5" s="38">
        <v>0.925196850393701</v>
      </c>
      <c r="C5" s="38"/>
      <c r="D5" s="38">
        <v>0.926356589147287</v>
      </c>
      <c r="E5" s="38">
        <v>0.922413793103448</v>
      </c>
      <c r="F5" s="38">
        <v>0.962886597938144</v>
      </c>
      <c r="G5" s="38"/>
      <c r="H5" s="38"/>
      <c r="I5" s="38"/>
      <c r="J5" s="38"/>
      <c r="K5" s="38"/>
      <c r="L5" s="38"/>
      <c r="M5" s="38"/>
      <c r="N5" s="46">
        <f t="shared" si="1"/>
        <v>0.934213457645645</v>
      </c>
      <c r="O5" s="47" t="s">
        <v>2</v>
      </c>
      <c r="P5" s="48">
        <f t="shared" si="2"/>
        <v>0.934213457645645</v>
      </c>
      <c r="Q5" s="49">
        <f t="shared" si="3"/>
        <v>95.3</v>
      </c>
      <c r="R5" s="50">
        <f t="shared" si="0"/>
        <v>4.765</v>
      </c>
      <c r="S5" s="51">
        <v>0.925196850393701</v>
      </c>
      <c r="T5" s="51">
        <v>0.617021276595745</v>
      </c>
    </row>
    <row r="6" customHeight="1" spans="1:20">
      <c r="A6" s="11" t="s">
        <v>5</v>
      </c>
      <c r="B6" s="38">
        <v>0.826797385620915</v>
      </c>
      <c r="C6" s="38"/>
      <c r="D6" s="38">
        <v>0.840909090909091</v>
      </c>
      <c r="E6" s="38">
        <v>0.85667215815486</v>
      </c>
      <c r="F6" s="38">
        <v>0.869117647058824</v>
      </c>
      <c r="G6" s="38"/>
      <c r="H6" s="38"/>
      <c r="I6" s="38"/>
      <c r="J6" s="38"/>
      <c r="K6" s="38"/>
      <c r="L6" s="38"/>
      <c r="M6" s="38"/>
      <c r="N6" s="46">
        <f t="shared" si="1"/>
        <v>0.848374070435923</v>
      </c>
      <c r="O6" s="47" t="s">
        <v>5</v>
      </c>
      <c r="P6" s="48">
        <f t="shared" si="2"/>
        <v>0.848374070435923</v>
      </c>
      <c r="Q6" s="49">
        <f t="shared" si="3"/>
        <v>69.5</v>
      </c>
      <c r="R6" s="50">
        <f t="shared" si="0"/>
        <v>3.475</v>
      </c>
      <c r="S6" s="9">
        <v>0.826797385620915</v>
      </c>
      <c r="T6" s="9">
        <v>0.466403162055336</v>
      </c>
    </row>
    <row r="7" customHeight="1" spans="1:20">
      <c r="A7" s="11" t="s">
        <v>14</v>
      </c>
      <c r="B7" s="38">
        <v>0.925465838509317</v>
      </c>
      <c r="C7" s="38"/>
      <c r="D7" s="38">
        <v>0.935672514619883</v>
      </c>
      <c r="E7" s="38">
        <v>0.953020134228188</v>
      </c>
      <c r="F7" s="38">
        <v>0.932203389830508</v>
      </c>
      <c r="G7" s="38"/>
      <c r="H7" s="38"/>
      <c r="I7" s="38"/>
      <c r="J7" s="38"/>
      <c r="K7" s="38"/>
      <c r="L7" s="38"/>
      <c r="M7" s="38"/>
      <c r="N7" s="46">
        <f t="shared" si="1"/>
        <v>0.936590469296974</v>
      </c>
      <c r="O7" s="47" t="s">
        <v>14</v>
      </c>
      <c r="P7" s="48">
        <f t="shared" si="2"/>
        <v>0.936590469296974</v>
      </c>
      <c r="Q7" s="49">
        <f t="shared" si="3"/>
        <v>96</v>
      </c>
      <c r="R7" s="50">
        <f t="shared" si="0"/>
        <v>4.8</v>
      </c>
      <c r="S7" s="9">
        <v>0.925465838509317</v>
      </c>
      <c r="T7" s="9">
        <v>0.550335570469799</v>
      </c>
    </row>
    <row r="8" customHeight="1" spans="1:20">
      <c r="A8" s="11" t="s">
        <v>3</v>
      </c>
      <c r="B8" s="38">
        <v>0.944140197152245</v>
      </c>
      <c r="C8" s="38"/>
      <c r="D8" s="38">
        <v>0.943762781186094</v>
      </c>
      <c r="E8" s="38">
        <v>0.942348008385744</v>
      </c>
      <c r="F8" s="38">
        <v>0.967372134038801</v>
      </c>
      <c r="G8" s="38"/>
      <c r="H8" s="38"/>
      <c r="I8" s="38"/>
      <c r="J8" s="38"/>
      <c r="K8" s="38"/>
      <c r="L8" s="38"/>
      <c r="M8" s="38"/>
      <c r="N8" s="46">
        <f t="shared" si="1"/>
        <v>0.949405780190721</v>
      </c>
      <c r="O8" s="47" t="s">
        <v>3</v>
      </c>
      <c r="P8" s="48">
        <v>0.996</v>
      </c>
      <c r="Q8" s="49">
        <f t="shared" si="3"/>
        <v>100</v>
      </c>
      <c r="R8" s="50">
        <f t="shared" si="0"/>
        <v>5</v>
      </c>
      <c r="S8" s="9">
        <v>0.944140197152245</v>
      </c>
      <c r="T8" s="9">
        <v>0.479118329466357</v>
      </c>
    </row>
    <row r="9" customHeight="1" spans="1:20">
      <c r="A9" s="11" t="s">
        <v>4</v>
      </c>
      <c r="B9" s="38">
        <v>0.982954545454545</v>
      </c>
      <c r="C9" s="38"/>
      <c r="D9" s="38">
        <v>0.96056338028169</v>
      </c>
      <c r="E9" s="38">
        <v>0.934895833333333</v>
      </c>
      <c r="F9" s="38">
        <v>0.971326164874552</v>
      </c>
      <c r="G9" s="38"/>
      <c r="H9" s="38"/>
      <c r="I9" s="38"/>
      <c r="J9" s="38"/>
      <c r="K9" s="38"/>
      <c r="L9" s="38"/>
      <c r="M9" s="38"/>
      <c r="N9" s="46">
        <f t="shared" si="1"/>
        <v>0.96243498098603</v>
      </c>
      <c r="O9" s="47" t="s">
        <v>4</v>
      </c>
      <c r="P9" s="48">
        <f t="shared" si="2"/>
        <v>0.96243498098603</v>
      </c>
      <c r="Q9" s="49">
        <f t="shared" si="3"/>
        <v>100</v>
      </c>
      <c r="R9" s="50">
        <f t="shared" si="0"/>
        <v>5</v>
      </c>
      <c r="S9" s="9">
        <v>0.982954545454545</v>
      </c>
      <c r="T9" s="9">
        <v>0.566473988439306</v>
      </c>
    </row>
    <row r="10" customHeight="1" spans="1:20">
      <c r="A10" s="11" t="s">
        <v>10</v>
      </c>
      <c r="B10" s="38">
        <v>0.925977653631285</v>
      </c>
      <c r="C10" s="38"/>
      <c r="D10" s="38">
        <v>0.907692307692308</v>
      </c>
      <c r="E10" s="38">
        <v>0.947303921568627</v>
      </c>
      <c r="F10" s="38">
        <v>0.957336108220604</v>
      </c>
      <c r="G10" s="38"/>
      <c r="H10" s="38"/>
      <c r="I10" s="38"/>
      <c r="J10" s="38"/>
      <c r="K10" s="38"/>
      <c r="L10" s="38"/>
      <c r="M10" s="38"/>
      <c r="N10" s="46">
        <f t="shared" si="1"/>
        <v>0.934577497778206</v>
      </c>
      <c r="O10" s="47" t="s">
        <v>10</v>
      </c>
      <c r="P10" s="48">
        <f t="shared" si="2"/>
        <v>0.934577497778206</v>
      </c>
      <c r="Q10" s="49">
        <f t="shared" si="3"/>
        <v>95.4</v>
      </c>
      <c r="R10" s="50">
        <f t="shared" si="0"/>
        <v>4.77</v>
      </c>
      <c r="S10" s="9">
        <v>0.925977653631285</v>
      </c>
      <c r="T10" s="9">
        <v>0.515837104072398</v>
      </c>
    </row>
    <row r="11" customHeight="1" spans="1:20">
      <c r="A11" s="11" t="s">
        <v>9</v>
      </c>
      <c r="B11" s="38">
        <v>0.958397534668721</v>
      </c>
      <c r="C11" s="38"/>
      <c r="D11" s="38">
        <v>0.947148817802503</v>
      </c>
      <c r="E11" s="38">
        <v>0.954929577464789</v>
      </c>
      <c r="F11" s="38">
        <v>0.954545454545455</v>
      </c>
      <c r="G11" s="38"/>
      <c r="H11" s="38"/>
      <c r="I11" s="38"/>
      <c r="J11" s="38"/>
      <c r="K11" s="38"/>
      <c r="L11" s="38"/>
      <c r="M11" s="38"/>
      <c r="N11" s="46">
        <f t="shared" si="1"/>
        <v>0.953755346120367</v>
      </c>
      <c r="O11" s="47" t="s">
        <v>9</v>
      </c>
      <c r="P11" s="48">
        <f t="shared" si="2"/>
        <v>0.953755346120367</v>
      </c>
      <c r="Q11" s="49">
        <f t="shared" si="3"/>
        <v>100</v>
      </c>
      <c r="R11" s="50">
        <f t="shared" si="0"/>
        <v>5</v>
      </c>
      <c r="S11" s="9">
        <v>0.958397534668721</v>
      </c>
      <c r="T11" s="9">
        <v>0.52572347266881</v>
      </c>
    </row>
    <row r="12" customHeight="1" spans="1:20">
      <c r="A12" s="11" t="s">
        <v>7</v>
      </c>
      <c r="B12" s="38">
        <v>0.9375</v>
      </c>
      <c r="C12" s="38"/>
      <c r="D12" s="38">
        <v>0.938864628820961</v>
      </c>
      <c r="E12" s="38">
        <v>0.891666666666667</v>
      </c>
      <c r="F12" s="38">
        <v>0.94921875</v>
      </c>
      <c r="G12" s="38"/>
      <c r="H12" s="38"/>
      <c r="I12" s="38"/>
      <c r="J12" s="38"/>
      <c r="K12" s="38"/>
      <c r="L12" s="38"/>
      <c r="M12" s="38"/>
      <c r="N12" s="46">
        <f t="shared" si="1"/>
        <v>0.929312511371907</v>
      </c>
      <c r="O12" s="47" t="s">
        <v>7</v>
      </c>
      <c r="P12" s="48">
        <f t="shared" si="2"/>
        <v>0.929312511371907</v>
      </c>
      <c r="Q12" s="49">
        <f t="shared" si="3"/>
        <v>93.8</v>
      </c>
      <c r="R12" s="50">
        <f t="shared" si="0"/>
        <v>4.69</v>
      </c>
      <c r="S12" s="9">
        <v>0.9375</v>
      </c>
      <c r="T12" s="9">
        <v>0.533333333333333</v>
      </c>
    </row>
    <row r="13" customHeight="1" spans="1:20">
      <c r="A13" s="11" t="s">
        <v>11</v>
      </c>
      <c r="B13" s="38">
        <v>0.89051094890511</v>
      </c>
      <c r="C13" s="38"/>
      <c r="D13" s="38">
        <v>0.888461538461538</v>
      </c>
      <c r="E13" s="38">
        <v>0.886194029850746</v>
      </c>
      <c r="F13" s="38">
        <v>0.919179734620024</v>
      </c>
      <c r="G13" s="38"/>
      <c r="H13" s="38"/>
      <c r="I13" s="38"/>
      <c r="J13" s="38"/>
      <c r="K13" s="38"/>
      <c r="L13" s="38"/>
      <c r="M13" s="38"/>
      <c r="N13" s="46">
        <f t="shared" si="1"/>
        <v>0.896086562959355</v>
      </c>
      <c r="O13" s="47" t="s">
        <v>11</v>
      </c>
      <c r="P13" s="52">
        <v>0.936</v>
      </c>
      <c r="Q13" s="49">
        <f t="shared" si="3"/>
        <v>95.8</v>
      </c>
      <c r="R13" s="50">
        <f t="shared" si="0"/>
        <v>4.79</v>
      </c>
      <c r="S13" s="9">
        <v>0.89051094890511</v>
      </c>
      <c r="T13" s="9">
        <v>0.461065573770492</v>
      </c>
    </row>
    <row r="14" customHeight="1" spans="1:20">
      <c r="A14" s="11" t="s">
        <v>12</v>
      </c>
      <c r="B14" s="38">
        <v>0.882758620689655</v>
      </c>
      <c r="C14" s="38"/>
      <c r="D14" s="38">
        <v>0.910569105691057</v>
      </c>
      <c r="E14" s="38">
        <v>0.857142857142857</v>
      </c>
      <c r="F14" s="38">
        <v>0.910179640718563</v>
      </c>
      <c r="G14" s="38"/>
      <c r="H14" s="38"/>
      <c r="I14" s="38"/>
      <c r="J14" s="38"/>
      <c r="K14" s="38"/>
      <c r="L14" s="38"/>
      <c r="M14" s="38"/>
      <c r="N14" s="46">
        <f t="shared" si="1"/>
        <v>0.890162556060533</v>
      </c>
      <c r="O14" s="47" t="s">
        <v>12</v>
      </c>
      <c r="P14" s="48">
        <f t="shared" si="2"/>
        <v>0.890162556060533</v>
      </c>
      <c r="Q14" s="49">
        <f t="shared" si="3"/>
        <v>82</v>
      </c>
      <c r="R14" s="50">
        <f t="shared" si="0"/>
        <v>4.1</v>
      </c>
      <c r="S14" s="9">
        <v>0.882758620689655</v>
      </c>
      <c r="T14" s="9">
        <v>0.625</v>
      </c>
    </row>
    <row r="15" customHeight="1" spans="1:20">
      <c r="A15" s="11" t="s">
        <v>6</v>
      </c>
      <c r="B15" s="38">
        <v>0.922737306843267</v>
      </c>
      <c r="C15" s="38"/>
      <c r="D15" s="38">
        <v>0.903614457831325</v>
      </c>
      <c r="E15" s="38">
        <v>0.912751677852349</v>
      </c>
      <c r="F15" s="38">
        <v>0.921100917431193</v>
      </c>
      <c r="G15" s="38"/>
      <c r="H15" s="38"/>
      <c r="I15" s="38"/>
      <c r="J15" s="38"/>
      <c r="K15" s="38"/>
      <c r="L15" s="38"/>
      <c r="M15" s="38"/>
      <c r="N15" s="46">
        <f t="shared" si="1"/>
        <v>0.915051089989533</v>
      </c>
      <c r="O15" s="47" t="s">
        <v>6</v>
      </c>
      <c r="P15" s="48">
        <f t="shared" si="2"/>
        <v>0.915051089989533</v>
      </c>
      <c r="Q15" s="49">
        <f t="shared" si="3"/>
        <v>89.5</v>
      </c>
      <c r="R15" s="50">
        <f t="shared" si="0"/>
        <v>4.475</v>
      </c>
      <c r="S15" s="9">
        <v>0.922737306843267</v>
      </c>
      <c r="T15" s="9">
        <v>0.507177033492823</v>
      </c>
    </row>
    <row r="16" customHeight="1" spans="1:20">
      <c r="A16" s="11" t="s">
        <v>125</v>
      </c>
      <c r="B16" s="35">
        <v>0.916428797970187</v>
      </c>
      <c r="C16" s="35"/>
      <c r="D16" s="35">
        <v>0.920456321300203</v>
      </c>
      <c r="E16" s="35">
        <v>0.931430344399628</v>
      </c>
      <c r="F16" s="35">
        <v>0.934405629555165</v>
      </c>
      <c r="G16" s="35"/>
      <c r="H16" s="35"/>
      <c r="I16" s="35"/>
      <c r="J16" s="35"/>
      <c r="K16" s="35"/>
      <c r="L16" s="35"/>
      <c r="M16" s="35"/>
      <c r="N16" s="46">
        <f t="shared" si="1"/>
        <v>0.925680273306296</v>
      </c>
      <c r="P16" s="48">
        <f t="shared" si="2"/>
        <v>0.925680273306296</v>
      </c>
      <c r="S16" s="9">
        <v>0.916428797970187</v>
      </c>
      <c r="T16" s="9">
        <v>0.501297802387956</v>
      </c>
    </row>
    <row r="17" customHeight="1" spans="1:14">
      <c r="C17" s="53"/>
      <c r="D17" s="39"/>
    </row>
    <row r="20" customHeight="1" spans="1:14">
      <c r="A20" s="40" t="s">
        <v>160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customHeight="1" spans="1:14">
      <c r="A21" s="41" t="s">
        <v>79</v>
      </c>
      <c r="B21" s="41" t="s">
        <v>128</v>
      </c>
      <c r="C21" s="41" t="s">
        <v>129</v>
      </c>
      <c r="D21" s="41" t="s">
        <v>130</v>
      </c>
      <c r="E21" s="41" t="s">
        <v>131</v>
      </c>
      <c r="F21" s="41" t="s">
        <v>132</v>
      </c>
      <c r="G21" s="41" t="s">
        <v>133</v>
      </c>
      <c r="H21" s="41" t="s">
        <v>134</v>
      </c>
      <c r="I21" s="41" t="s">
        <v>135</v>
      </c>
      <c r="J21" s="41" t="s">
        <v>136</v>
      </c>
      <c r="K21" s="41" t="s">
        <v>137</v>
      </c>
      <c r="L21" s="41" t="s">
        <v>138</v>
      </c>
      <c r="M21" s="41" t="s">
        <v>139</v>
      </c>
      <c r="N21" s="42" t="s">
        <v>158</v>
      </c>
    </row>
    <row r="22" customHeight="1" spans="1:14">
      <c r="A22" s="11" t="s">
        <v>13</v>
      </c>
      <c r="B22" s="38">
        <v>0.881040892193308</v>
      </c>
      <c r="C22" s="38">
        <v>0.893617021276596</v>
      </c>
      <c r="D22" s="38">
        <v>0.905454545454545</v>
      </c>
      <c r="E22" s="38">
        <v>0.893150684931507</v>
      </c>
      <c r="F22" s="38">
        <v>0.90748031496063</v>
      </c>
      <c r="G22" s="38">
        <v>0.896186440677966</v>
      </c>
      <c r="H22" s="38">
        <v>0.93287037037037</v>
      </c>
      <c r="I22" s="38">
        <v>0.92814371257485</v>
      </c>
      <c r="J22" s="38">
        <v>0.942307692307692</v>
      </c>
      <c r="K22" s="38"/>
      <c r="L22" s="38">
        <v>0.967479674796748</v>
      </c>
      <c r="M22" s="38">
        <v>0</v>
      </c>
      <c r="N22" s="46">
        <f t="shared" ref="N22:N35" si="4">AVERAGE(B22:M22)</f>
        <v>0.831611940867656</v>
      </c>
    </row>
    <row r="23" customHeight="1" spans="1:14">
      <c r="A23" s="11" t="s">
        <v>8</v>
      </c>
      <c r="B23" s="38">
        <v>0.960352422907489</v>
      </c>
      <c r="C23" s="38">
        <v>0.9590942293645</v>
      </c>
      <c r="D23" s="38">
        <v>0.938716654650324</v>
      </c>
      <c r="E23" s="38">
        <v>0.95</v>
      </c>
      <c r="F23" s="38">
        <v>0.948645796693633</v>
      </c>
      <c r="G23" s="38">
        <v>0.946764424609499</v>
      </c>
      <c r="H23" s="38">
        <v>0.9699604743083</v>
      </c>
      <c r="I23" s="38">
        <v>0.948058025269069</v>
      </c>
      <c r="J23" s="38">
        <v>0.959896133871898</v>
      </c>
      <c r="K23" s="38"/>
      <c r="L23" s="38">
        <v>0.958132045088567</v>
      </c>
      <c r="M23" s="38">
        <v>0.819259259259259</v>
      </c>
      <c r="N23" s="46">
        <f t="shared" si="4"/>
        <v>0.941716315092958</v>
      </c>
    </row>
    <row r="24" customHeight="1" spans="1:14">
      <c r="A24" s="11" t="s">
        <v>2</v>
      </c>
      <c r="B24" s="38">
        <v>0.975975975975976</v>
      </c>
      <c r="C24" s="38">
        <v>0.952112676056338</v>
      </c>
      <c r="D24" s="38">
        <v>0.946478873239437</v>
      </c>
      <c r="E24" s="38">
        <v>0.949596774193548</v>
      </c>
      <c r="F24" s="38">
        <v>0.947513812154696</v>
      </c>
      <c r="G24" s="38">
        <v>0.949284785435631</v>
      </c>
      <c r="H24" s="38">
        <v>0.961945031712474</v>
      </c>
      <c r="I24" s="38">
        <v>0.960490463215259</v>
      </c>
      <c r="J24" s="38">
        <v>0.952299829642249</v>
      </c>
      <c r="K24" s="38"/>
      <c r="L24" s="38">
        <v>0.97887323943662</v>
      </c>
      <c r="M24" s="38">
        <v>0.933962264150943</v>
      </c>
      <c r="N24" s="46">
        <f t="shared" si="4"/>
        <v>0.955321247746652</v>
      </c>
    </row>
    <row r="25" customHeight="1" spans="1:14">
      <c r="A25" s="11" t="s">
        <v>5</v>
      </c>
      <c r="B25" s="38">
        <v>0.942324003392706</v>
      </c>
      <c r="C25" s="38">
        <v>0.944630872483222</v>
      </c>
      <c r="D25" s="38">
        <v>0.933333333333333</v>
      </c>
      <c r="E25" s="38">
        <v>0.931002759889604</v>
      </c>
      <c r="F25" s="38">
        <v>0.938137755102041</v>
      </c>
      <c r="G25" s="38">
        <v>0.930843706777317</v>
      </c>
      <c r="H25" s="38">
        <v>0.930441286462229</v>
      </c>
      <c r="I25" s="38">
        <v>0.924956369982548</v>
      </c>
      <c r="J25" s="38">
        <v>0.926397343663531</v>
      </c>
      <c r="K25" s="38"/>
      <c r="L25" s="38">
        <v>0.963276836158192</v>
      </c>
      <c r="M25" s="38">
        <v>1</v>
      </c>
      <c r="N25" s="46">
        <f t="shared" si="4"/>
        <v>0.942304024294975</v>
      </c>
    </row>
    <row r="26" customHeight="1" spans="1:14">
      <c r="A26" s="11" t="s">
        <v>14</v>
      </c>
      <c r="B26" s="38">
        <v>0.957894736842105</v>
      </c>
      <c r="C26" s="38">
        <v>0.97008547008547</v>
      </c>
      <c r="D26" s="38">
        <v>0.967871485943775</v>
      </c>
      <c r="E26" s="38">
        <v>0.950819672131147</v>
      </c>
      <c r="F26" s="38">
        <v>0.917431192660551</v>
      </c>
      <c r="G26" s="38">
        <v>0.974226804123711</v>
      </c>
      <c r="H26" s="38">
        <v>0.964391691394659</v>
      </c>
      <c r="I26" s="38">
        <v>0.964973730297723</v>
      </c>
      <c r="J26" s="38">
        <v>0.959139784946237</v>
      </c>
      <c r="K26" s="38"/>
      <c r="L26" s="38">
        <v>0.9921875</v>
      </c>
      <c r="M26" s="38">
        <v>1</v>
      </c>
      <c r="N26" s="46">
        <f t="shared" si="4"/>
        <v>0.965365642584125</v>
      </c>
    </row>
    <row r="27" customHeight="1" spans="1:14">
      <c r="A27" s="11" t="s">
        <v>3</v>
      </c>
      <c r="B27" s="38">
        <v>0.959272097053726</v>
      </c>
      <c r="C27" s="38">
        <v>0.9702434625789</v>
      </c>
      <c r="D27" s="38">
        <v>0.956043956043956</v>
      </c>
      <c r="E27" s="38">
        <v>0.966438781852082</v>
      </c>
      <c r="F27" s="38">
        <v>0.973451327433628</v>
      </c>
      <c r="G27" s="38">
        <v>0.943916779737675</v>
      </c>
      <c r="H27" s="38">
        <v>0.977766548762001</v>
      </c>
      <c r="I27" s="38">
        <v>0.975803981623277</v>
      </c>
      <c r="J27" s="38">
        <v>0.969517022961203</v>
      </c>
      <c r="K27" s="38"/>
      <c r="L27" s="38">
        <v>0.930507296733843</v>
      </c>
      <c r="M27" s="38">
        <v>1</v>
      </c>
      <c r="N27" s="46">
        <f t="shared" si="4"/>
        <v>0.965723750434572</v>
      </c>
    </row>
    <row r="28" customHeight="1" spans="1:14">
      <c r="A28" s="11" t="s">
        <v>4</v>
      </c>
      <c r="B28" s="38">
        <v>0.977272727272727</v>
      </c>
      <c r="C28" s="38">
        <v>0.975169300225734</v>
      </c>
      <c r="D28" s="38">
        <v>0.958429561200924</v>
      </c>
      <c r="E28" s="38">
        <v>0.926282051282051</v>
      </c>
      <c r="F28" s="38">
        <v>0.951612903225806</v>
      </c>
      <c r="G28" s="38">
        <v>0.962469733656174</v>
      </c>
      <c r="H28" s="38">
        <v>0.969444444444444</v>
      </c>
      <c r="I28" s="38">
        <v>0.966555183946488</v>
      </c>
      <c r="J28" s="38">
        <v>0.962833914053426</v>
      </c>
      <c r="K28" s="38"/>
      <c r="L28" s="38">
        <v>0.95625</v>
      </c>
      <c r="M28" s="38">
        <v>0.916666666666667</v>
      </c>
      <c r="N28" s="46">
        <f t="shared" si="4"/>
        <v>0.956635135088586</v>
      </c>
    </row>
    <row r="29" customHeight="1" spans="1:14">
      <c r="A29" s="11" t="s">
        <v>10</v>
      </c>
      <c r="B29" s="38">
        <v>0.964912280701754</v>
      </c>
      <c r="C29" s="38">
        <v>0.960880195599022</v>
      </c>
      <c r="D29" s="38">
        <v>0.952986022871665</v>
      </c>
      <c r="E29" s="38">
        <v>0.95837023914969</v>
      </c>
      <c r="F29" s="38">
        <v>0.962136578769439</v>
      </c>
      <c r="G29" s="38">
        <v>0.938737623762376</v>
      </c>
      <c r="H29" s="38">
        <v>0.956760466712423</v>
      </c>
      <c r="I29" s="38">
        <v>0.931240063593005</v>
      </c>
      <c r="J29" s="38">
        <v>0.937531234382809</v>
      </c>
      <c r="K29" s="38"/>
      <c r="L29" s="38">
        <v>0.978761061946903</v>
      </c>
      <c r="M29" s="38">
        <v>1</v>
      </c>
      <c r="N29" s="46">
        <f t="shared" si="4"/>
        <v>0.958392342499008</v>
      </c>
    </row>
    <row r="30" customHeight="1" spans="1:14">
      <c r="A30" s="11" t="s">
        <v>9</v>
      </c>
      <c r="B30" s="38">
        <v>0.970814132104455</v>
      </c>
      <c r="C30" s="38">
        <v>0.963963963963964</v>
      </c>
      <c r="D30" s="38">
        <v>0.958204334365325</v>
      </c>
      <c r="E30" s="38">
        <v>0.957627118644068</v>
      </c>
      <c r="F30" s="38">
        <v>0.952312138728324</v>
      </c>
      <c r="G30" s="38">
        <v>0.950101146325017</v>
      </c>
      <c r="H30" s="38">
        <v>0.972292191435768</v>
      </c>
      <c r="I30" s="38">
        <v>0.955083909180652</v>
      </c>
      <c r="J30" s="38">
        <v>0.950870646766169</v>
      </c>
      <c r="K30" s="38"/>
      <c r="L30" s="38">
        <v>0.939086294416244</v>
      </c>
      <c r="M30" s="38">
        <v>1</v>
      </c>
      <c r="N30" s="46">
        <f t="shared" si="4"/>
        <v>0.960941443266362</v>
      </c>
    </row>
    <row r="31" customHeight="1" spans="1:14">
      <c r="A31" s="11" t="s">
        <v>7</v>
      </c>
      <c r="B31" s="38">
        <v>0.951127819548872</v>
      </c>
      <c r="C31" s="38">
        <v>0.970260223048327</v>
      </c>
      <c r="D31" s="38">
        <v>0.955645161290323</v>
      </c>
      <c r="E31" s="38">
        <v>0.921965317919075</v>
      </c>
      <c r="F31" s="38">
        <v>0.931392931392931</v>
      </c>
      <c r="G31" s="38">
        <v>0.939047619047619</v>
      </c>
      <c r="H31" s="38">
        <v>0.968565815324165</v>
      </c>
      <c r="I31" s="38">
        <v>0.941463414634146</v>
      </c>
      <c r="J31" s="38">
        <v>0.952904238618524</v>
      </c>
      <c r="K31" s="38"/>
      <c r="L31" s="38">
        <v>0.868421052631579</v>
      </c>
      <c r="M31" s="38">
        <v>1</v>
      </c>
      <c r="N31" s="46">
        <f t="shared" si="4"/>
        <v>0.945526690314142</v>
      </c>
    </row>
    <row r="32" customHeight="1" spans="1:14">
      <c r="A32" s="11" t="s">
        <v>11</v>
      </c>
      <c r="B32" s="38">
        <v>0.932222222222222</v>
      </c>
      <c r="C32" s="38">
        <v>0.936915887850467</v>
      </c>
      <c r="D32" s="38">
        <v>0.93502538071066</v>
      </c>
      <c r="E32" s="38">
        <v>0.92548435171386</v>
      </c>
      <c r="F32" s="38">
        <v>0.925</v>
      </c>
      <c r="G32" s="38">
        <v>0.946181445412609</v>
      </c>
      <c r="H32" s="38">
        <v>0.938837920489297</v>
      </c>
      <c r="I32" s="38">
        <v>0.931018301267011</v>
      </c>
      <c r="J32" s="38">
        <v>0.933819064966606</v>
      </c>
      <c r="K32" s="38"/>
      <c r="L32" s="38">
        <v>0.948790896159317</v>
      </c>
      <c r="M32" s="38">
        <v>0.854951185495119</v>
      </c>
      <c r="N32" s="46">
        <f t="shared" si="4"/>
        <v>0.928022423298833</v>
      </c>
    </row>
    <row r="33" customHeight="1" spans="1:14">
      <c r="A33" s="11" t="s">
        <v>12</v>
      </c>
      <c r="B33" s="38">
        <v>0.977653631284916</v>
      </c>
      <c r="C33" s="38">
        <v>0.941935483870968</v>
      </c>
      <c r="D33" s="38">
        <v>0.937888198757764</v>
      </c>
      <c r="E33" s="38">
        <v>0.944186046511628</v>
      </c>
      <c r="F33" s="38">
        <v>0.926910299003322</v>
      </c>
      <c r="G33" s="38">
        <v>0.925266903914591</v>
      </c>
      <c r="H33" s="38">
        <v>0.941860465116279</v>
      </c>
      <c r="I33" s="38">
        <v>0.917061611374408</v>
      </c>
      <c r="J33" s="38">
        <v>0.927745664739884</v>
      </c>
      <c r="K33" s="38"/>
      <c r="L33" s="38">
        <v>0.975</v>
      </c>
      <c r="M33" s="38">
        <v>0.75</v>
      </c>
      <c r="N33" s="46">
        <f t="shared" si="4"/>
        <v>0.924137118597614</v>
      </c>
    </row>
    <row r="34" customHeight="1" spans="1:14">
      <c r="A34" s="11" t="s">
        <v>6</v>
      </c>
      <c r="B34" s="38">
        <v>0.967871485943775</v>
      </c>
      <c r="C34" s="38">
        <v>0.946395563770795</v>
      </c>
      <c r="D34" s="38">
        <v>0.949790794979079</v>
      </c>
      <c r="E34" s="38">
        <v>0.928169014084507</v>
      </c>
      <c r="F34" s="38">
        <v>0.937300743889479</v>
      </c>
      <c r="G34" s="38">
        <v>0.952127659574468</v>
      </c>
      <c r="H34" s="38">
        <v>0.968619246861925</v>
      </c>
      <c r="I34" s="38">
        <v>0.957746478873239</v>
      </c>
      <c r="J34" s="38">
        <v>0.948203842940685</v>
      </c>
      <c r="K34" s="38"/>
      <c r="L34" s="38">
        <v>0.945244956772334</v>
      </c>
      <c r="M34" s="38">
        <v>0.75</v>
      </c>
      <c r="N34" s="46">
        <f t="shared" si="4"/>
        <v>0.931951798880935</v>
      </c>
    </row>
    <row r="35" customHeight="1" spans="1:14">
      <c r="A35" s="11" t="s">
        <v>125</v>
      </c>
      <c r="B35" s="35">
        <v>0.955225696556759</v>
      </c>
      <c r="C35" s="35">
        <v>0.954638677765714</v>
      </c>
      <c r="D35" s="35">
        <v>0.945577364262044</v>
      </c>
      <c r="E35" s="35">
        <v>0.943792893753801</v>
      </c>
      <c r="F35" s="35">
        <v>0.946153846153846</v>
      </c>
      <c r="G35" s="35">
        <v>0.944516287948765</v>
      </c>
      <c r="H35" s="35">
        <v>0.960628753614592</v>
      </c>
      <c r="I35" s="35">
        <v>0.947800741918389</v>
      </c>
      <c r="J35" s="35">
        <v>0.949696151249156</v>
      </c>
      <c r="K35" s="35"/>
      <c r="L35" s="35">
        <v>0.952104243704878</v>
      </c>
      <c r="M35" s="35">
        <v>0.847435897435897</v>
      </c>
      <c r="N35" s="46">
        <f t="shared" si="4"/>
        <v>0.940688232214895</v>
      </c>
    </row>
  </sheetData>
  <mergeCells count="2">
    <mergeCell ref="A1:N1"/>
    <mergeCell ref="A20:N20"/>
  </mergeCells>
  <conditionalFormatting sqref="D3:D15">
    <cfRule type="cellIs" dxfId="0" priority="1" operator="lessThan">
      <formula>0.95</formula>
    </cfRule>
  </conditionalFormatting>
  <conditionalFormatting sqref="M22:M34">
    <cfRule type="cellIs" dxfId="1" priority="3" operator="lessThan">
      <formula>0.95</formula>
    </cfRule>
  </conditionalFormatting>
  <conditionalFormatting sqref="B3:C15 E3:M15">
    <cfRule type="cellIs" dxfId="0" priority="2" operator="lessThan">
      <formula>0.95</formula>
    </cfRule>
  </conditionalFormatting>
  <conditionalFormatting sqref="B22:L34 N22:N35">
    <cfRule type="cellIs" dxfId="1" priority="4" operator="lessThan">
      <formula>0.95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zoomScale="80" zoomScaleNormal="80" workbookViewId="0">
      <selection activeCell="U29" sqref="U29"/>
    </sheetView>
  </sheetViews>
  <sheetFormatPr defaultColWidth="8.88333333333333" defaultRowHeight="20" customHeight="1"/>
  <cols>
    <col min="1" max="15" width="10.75" style="9" customWidth="1"/>
    <col min="16" max="17" width="12.6333333333333" style="9"/>
    <col min="18" max="18" width="13.75" style="9"/>
    <col min="19" max="20" width="8.88333333333333" style="9"/>
    <col min="21" max="21" width="12.6333333333333" style="9"/>
    <col min="22" max="25" width="8.88333333333333" style="9"/>
    <col min="26" max="26" width="13.75" style="9"/>
    <col min="27" max="16384" width="8.88333333333333" style="9"/>
  </cols>
  <sheetData>
    <row r="1" customHeight="1" spans="1:19">
      <c r="A1" s="29" t="s">
        <v>161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customHeight="1" spans="1:19">
      <c r="A2" s="11" t="s">
        <v>79</v>
      </c>
      <c r="B2" s="11" t="s">
        <v>128</v>
      </c>
      <c r="C2" s="11" t="s">
        <v>129</v>
      </c>
      <c r="D2" s="11" t="s">
        <v>130</v>
      </c>
      <c r="E2" s="11" t="s">
        <v>131</v>
      </c>
      <c r="F2" s="11" t="s">
        <v>132</v>
      </c>
      <c r="G2" s="11" t="s">
        <v>133</v>
      </c>
      <c r="H2" s="11" t="s">
        <v>134</v>
      </c>
      <c r="I2" s="11" t="s">
        <v>135</v>
      </c>
      <c r="J2" s="11" t="s">
        <v>136</v>
      </c>
      <c r="K2" s="11" t="s">
        <v>137</v>
      </c>
      <c r="L2" s="11" t="s">
        <v>138</v>
      </c>
      <c r="M2" s="11" t="s">
        <v>139</v>
      </c>
      <c r="N2" s="30" t="s">
        <v>158</v>
      </c>
      <c r="P2" s="11" t="s">
        <v>79</v>
      </c>
      <c r="Q2" s="11" t="s">
        <v>159</v>
      </c>
      <c r="R2" s="11" t="s">
        <v>80</v>
      </c>
      <c r="S2" s="11" t="s">
        <v>81</v>
      </c>
    </row>
    <row r="3" customHeight="1" spans="1:19">
      <c r="A3" s="31" t="s">
        <v>13</v>
      </c>
      <c r="B3" s="32">
        <v>0.440329218106996</v>
      </c>
      <c r="C3" s="32"/>
      <c r="D3" s="32">
        <v>0.459821428571429</v>
      </c>
      <c r="E3" s="32">
        <v>0.509259259259259</v>
      </c>
      <c r="F3" s="33">
        <v>0.6113074204947</v>
      </c>
      <c r="G3" s="33"/>
      <c r="H3" s="33"/>
      <c r="I3" s="33"/>
      <c r="J3" s="33"/>
      <c r="K3" s="34"/>
      <c r="L3" s="35"/>
      <c r="M3" s="35"/>
      <c r="N3" s="32">
        <f>AVERAGE(B3:M3)</f>
        <v>0.505179331608096</v>
      </c>
      <c r="P3" s="31" t="s">
        <v>13</v>
      </c>
      <c r="Q3" s="35">
        <f>AVERAGE(B3:M3)</f>
        <v>0.505179331608096</v>
      </c>
      <c r="R3" s="13">
        <f>ROUND(IF(Q3=50%,100,IF(Q3&gt;50%,100+(Q3-50%)/1%*2,100-(50%-Q3)/1%*2)),1)</f>
        <v>101</v>
      </c>
      <c r="S3" s="36">
        <f>R3*0.05</f>
        <v>5.05</v>
      </c>
    </row>
    <row r="4" customHeight="1" spans="1:19">
      <c r="A4" s="31" t="s">
        <v>8</v>
      </c>
      <c r="B4" s="32">
        <v>0.462046204620462</v>
      </c>
      <c r="C4" s="32"/>
      <c r="D4" s="32">
        <v>0.460141271442987</v>
      </c>
      <c r="E4" s="32">
        <v>0.466733870967742</v>
      </c>
      <c r="F4" s="33">
        <v>0.437052200614125</v>
      </c>
      <c r="G4" s="33"/>
      <c r="H4" s="33"/>
      <c r="I4" s="33"/>
      <c r="J4" s="33"/>
      <c r="K4" s="34"/>
      <c r="L4" s="35"/>
      <c r="M4" s="35"/>
      <c r="N4" s="32">
        <f t="shared" ref="N4:N16" si="0">AVERAGE(B4:M4)</f>
        <v>0.456493386911329</v>
      </c>
      <c r="P4" s="31" t="s">
        <v>8</v>
      </c>
      <c r="Q4" s="37">
        <v>0.5054</v>
      </c>
      <c r="R4" s="13">
        <f>ROUND(IF(Q4=50%,100,IF(Q4&gt;50%,100+(Q4-50%)/1%*2,100-(50%-Q4)/1%*2)),1)</f>
        <v>101.1</v>
      </c>
      <c r="S4" s="36">
        <f>R4*0.05</f>
        <v>5.055</v>
      </c>
    </row>
    <row r="5" customHeight="1" spans="1:19">
      <c r="A5" s="31" t="s">
        <v>2</v>
      </c>
      <c r="B5" s="32">
        <v>0.617021276595745</v>
      </c>
      <c r="C5" s="32"/>
      <c r="D5" s="32">
        <v>0.652719665271967</v>
      </c>
      <c r="E5" s="32">
        <v>0.696261682242991</v>
      </c>
      <c r="F5" s="33">
        <v>0.867237687366167</v>
      </c>
      <c r="G5" s="33"/>
      <c r="H5" s="33"/>
      <c r="I5" s="33"/>
      <c r="J5" s="33"/>
      <c r="K5" s="34"/>
      <c r="L5" s="35"/>
      <c r="M5" s="35"/>
      <c r="N5" s="32">
        <f t="shared" si="0"/>
        <v>0.708310077869218</v>
      </c>
      <c r="P5" s="31" t="s">
        <v>2</v>
      </c>
      <c r="Q5" s="35">
        <f t="shared" ref="Q4:Q16" si="1">AVERAGE(B5:M5)</f>
        <v>0.708310077869218</v>
      </c>
      <c r="R5" s="13">
        <f t="shared" ref="R4:R16" si="2">ROUND(IF(Q5=50%,100,IF(Q5&gt;50%,100+(Q5-50%)/1%*2,100-(50%-Q5)/1%*2)),1)</f>
        <v>141.7</v>
      </c>
      <c r="S5" s="36">
        <f>R5*0.05</f>
        <v>7.085</v>
      </c>
    </row>
    <row r="6" customHeight="1" spans="1:19">
      <c r="A6" s="31" t="s">
        <v>5</v>
      </c>
      <c r="B6" s="32">
        <v>0.466403162055336</v>
      </c>
      <c r="C6" s="32"/>
      <c r="D6" s="32">
        <v>0.411196911196911</v>
      </c>
      <c r="E6" s="32">
        <v>0.459615384615385</v>
      </c>
      <c r="F6" s="33">
        <v>0.519458544839255</v>
      </c>
      <c r="G6" s="33"/>
      <c r="H6" s="33"/>
      <c r="I6" s="33"/>
      <c r="J6" s="33"/>
      <c r="K6" s="34"/>
      <c r="L6" s="35"/>
      <c r="M6" s="35"/>
      <c r="N6" s="32">
        <f t="shared" si="0"/>
        <v>0.464168500676722</v>
      </c>
      <c r="P6" s="31" t="s">
        <v>5</v>
      </c>
      <c r="Q6" s="35">
        <f t="shared" si="1"/>
        <v>0.464168500676722</v>
      </c>
      <c r="R6" s="13">
        <f t="shared" si="2"/>
        <v>92.8</v>
      </c>
      <c r="S6" s="36">
        <f>R6*0.05</f>
        <v>4.64</v>
      </c>
    </row>
    <row r="7" customHeight="1" spans="1:19">
      <c r="A7" s="31" t="s">
        <v>14</v>
      </c>
      <c r="B7" s="32">
        <v>0.550335570469799</v>
      </c>
      <c r="C7" s="32"/>
      <c r="D7" s="32">
        <v>0.49375</v>
      </c>
      <c r="E7" s="32">
        <v>0.584507042253521</v>
      </c>
      <c r="F7" s="33">
        <v>0.618181818181818</v>
      </c>
      <c r="G7" s="33"/>
      <c r="H7" s="33"/>
      <c r="I7" s="33"/>
      <c r="J7" s="33"/>
      <c r="K7" s="34"/>
      <c r="L7" s="35"/>
      <c r="M7" s="35"/>
      <c r="N7" s="32">
        <f t="shared" si="0"/>
        <v>0.561693607726285</v>
      </c>
      <c r="P7" s="31" t="s">
        <v>14</v>
      </c>
      <c r="Q7" s="35">
        <f t="shared" si="1"/>
        <v>0.561693607726285</v>
      </c>
      <c r="R7" s="13">
        <f t="shared" si="2"/>
        <v>112.3</v>
      </c>
      <c r="S7" s="36">
        <f t="shared" ref="S4:S16" si="3">R7*0.05</f>
        <v>5.615</v>
      </c>
    </row>
    <row r="8" customHeight="1" spans="1:19">
      <c r="A8" s="31" t="s">
        <v>3</v>
      </c>
      <c r="B8" s="32">
        <v>0.479118329466357</v>
      </c>
      <c r="C8" s="32"/>
      <c r="D8" s="32">
        <v>0.495124593716143</v>
      </c>
      <c r="E8" s="32">
        <v>0.587319243604004</v>
      </c>
      <c r="F8" s="33">
        <v>0.579762989972653</v>
      </c>
      <c r="G8" s="33"/>
      <c r="H8" s="33"/>
      <c r="I8" s="33"/>
      <c r="J8" s="33"/>
      <c r="K8" s="34"/>
      <c r="L8" s="35"/>
      <c r="M8" s="35"/>
      <c r="N8" s="32">
        <f t="shared" si="0"/>
        <v>0.535331289189789</v>
      </c>
      <c r="P8" s="31" t="s">
        <v>3</v>
      </c>
      <c r="Q8" s="37">
        <v>0.523</v>
      </c>
      <c r="R8" s="13">
        <f t="shared" si="2"/>
        <v>104.6</v>
      </c>
      <c r="S8" s="36">
        <f t="shared" si="3"/>
        <v>5.23</v>
      </c>
    </row>
    <row r="9" customHeight="1" spans="1:19">
      <c r="A9" s="31" t="s">
        <v>4</v>
      </c>
      <c r="B9" s="32">
        <v>0.566473988439306</v>
      </c>
      <c r="C9" s="32"/>
      <c r="D9" s="32">
        <v>0.504398826979472</v>
      </c>
      <c r="E9" s="32">
        <v>0.515320334261838</v>
      </c>
      <c r="F9" s="33">
        <v>0.688191881918819</v>
      </c>
      <c r="G9" s="33"/>
      <c r="H9" s="33"/>
      <c r="I9" s="33"/>
      <c r="J9" s="33"/>
      <c r="K9" s="34"/>
      <c r="L9" s="35"/>
      <c r="M9" s="35"/>
      <c r="N9" s="32">
        <f t="shared" si="0"/>
        <v>0.568596257899859</v>
      </c>
      <c r="P9" s="31" t="s">
        <v>4</v>
      </c>
      <c r="Q9" s="35">
        <f t="shared" si="1"/>
        <v>0.568596257899859</v>
      </c>
      <c r="R9" s="13">
        <f t="shared" si="2"/>
        <v>113.7</v>
      </c>
      <c r="S9" s="36">
        <f t="shared" si="3"/>
        <v>5.685</v>
      </c>
    </row>
    <row r="10" customHeight="1" spans="1:19">
      <c r="A10" s="31" t="s">
        <v>10</v>
      </c>
      <c r="B10" s="32">
        <v>0.515837104072398</v>
      </c>
      <c r="C10" s="32"/>
      <c r="D10" s="32">
        <v>0.520801232665639</v>
      </c>
      <c r="E10" s="32">
        <v>0.658473479948254</v>
      </c>
      <c r="F10" s="33">
        <v>0.696739130434783</v>
      </c>
      <c r="G10" s="33"/>
      <c r="H10" s="33"/>
      <c r="I10" s="33"/>
      <c r="J10" s="33"/>
      <c r="K10" s="34"/>
      <c r="L10" s="35"/>
      <c r="M10" s="35"/>
      <c r="N10" s="32">
        <f t="shared" si="0"/>
        <v>0.597962736780268</v>
      </c>
      <c r="P10" s="31" t="s">
        <v>10</v>
      </c>
      <c r="Q10" s="35">
        <f t="shared" si="1"/>
        <v>0.597962736780268</v>
      </c>
      <c r="R10" s="13">
        <f t="shared" si="2"/>
        <v>119.6</v>
      </c>
      <c r="S10" s="36">
        <f t="shared" si="3"/>
        <v>5.98</v>
      </c>
    </row>
    <row r="11" customHeight="1" spans="1:19">
      <c r="A11" s="31" t="s">
        <v>9</v>
      </c>
      <c r="B11" s="32">
        <v>0.52572347266881</v>
      </c>
      <c r="C11" s="32"/>
      <c r="D11" s="32">
        <v>0.55359765051395</v>
      </c>
      <c r="E11" s="32">
        <v>0.588495575221239</v>
      </c>
      <c r="F11" s="33">
        <v>0.561904761904762</v>
      </c>
      <c r="G11" s="33"/>
      <c r="H11" s="33"/>
      <c r="I11" s="33"/>
      <c r="J11" s="33"/>
      <c r="K11" s="34"/>
      <c r="L11" s="35"/>
      <c r="M11" s="35"/>
      <c r="N11" s="32">
        <f t="shared" si="0"/>
        <v>0.55743036507719</v>
      </c>
      <c r="P11" s="31" t="s">
        <v>9</v>
      </c>
      <c r="Q11" s="35">
        <f t="shared" si="1"/>
        <v>0.55743036507719</v>
      </c>
      <c r="R11" s="13">
        <f t="shared" si="2"/>
        <v>111.5</v>
      </c>
      <c r="S11" s="36">
        <f t="shared" si="3"/>
        <v>5.575</v>
      </c>
    </row>
    <row r="12" customHeight="1" spans="1:19">
      <c r="A12" s="31" t="s">
        <v>7</v>
      </c>
      <c r="B12" s="32">
        <v>0.533333333333333</v>
      </c>
      <c r="C12" s="32"/>
      <c r="D12" s="32">
        <v>0.567441860465116</v>
      </c>
      <c r="E12" s="32">
        <v>0.523364485981308</v>
      </c>
      <c r="F12" s="33">
        <v>0.547325102880658</v>
      </c>
      <c r="G12" s="33"/>
      <c r="H12" s="33"/>
      <c r="I12" s="33"/>
      <c r="J12" s="33"/>
      <c r="K12" s="34"/>
      <c r="L12" s="35"/>
      <c r="M12" s="35"/>
      <c r="N12" s="32">
        <f t="shared" si="0"/>
        <v>0.542866195665104</v>
      </c>
      <c r="P12" s="31" t="s">
        <v>7</v>
      </c>
      <c r="Q12" s="35">
        <f t="shared" si="1"/>
        <v>0.542866195665104</v>
      </c>
      <c r="R12" s="13">
        <f t="shared" si="2"/>
        <v>108.6</v>
      </c>
      <c r="S12" s="36">
        <f t="shared" si="3"/>
        <v>5.43</v>
      </c>
    </row>
    <row r="13" customHeight="1" spans="1:19">
      <c r="A13" s="31" t="s">
        <v>11</v>
      </c>
      <c r="B13" s="32">
        <v>0.461065573770492</v>
      </c>
      <c r="C13" s="32"/>
      <c r="D13" s="32">
        <v>0.465367965367965</v>
      </c>
      <c r="E13" s="32">
        <v>0.488421052631579</v>
      </c>
      <c r="F13" s="33">
        <v>0.694225721784777</v>
      </c>
      <c r="G13" s="33"/>
      <c r="H13" s="33"/>
      <c r="I13" s="33"/>
      <c r="J13" s="33"/>
      <c r="K13" s="34"/>
      <c r="L13" s="35"/>
      <c r="M13" s="35"/>
      <c r="N13" s="32">
        <f t="shared" si="0"/>
        <v>0.527270078388703</v>
      </c>
      <c r="P13" s="31" t="s">
        <v>11</v>
      </c>
      <c r="Q13" s="37">
        <v>0.459</v>
      </c>
      <c r="R13" s="13">
        <f t="shared" si="2"/>
        <v>91.8</v>
      </c>
      <c r="S13" s="36">
        <f t="shared" si="3"/>
        <v>4.59</v>
      </c>
    </row>
    <row r="14" customHeight="1" spans="1:19">
      <c r="A14" s="31" t="s">
        <v>12</v>
      </c>
      <c r="B14" s="32">
        <v>0.625</v>
      </c>
      <c r="C14" s="32"/>
      <c r="D14" s="32">
        <v>0.455357142857143</v>
      </c>
      <c r="E14" s="32">
        <v>0.508771929824561</v>
      </c>
      <c r="F14" s="33">
        <v>0.664473684210526</v>
      </c>
      <c r="G14" s="33"/>
      <c r="H14" s="33"/>
      <c r="I14" s="33"/>
      <c r="J14" s="33"/>
      <c r="K14" s="34"/>
      <c r="L14" s="35"/>
      <c r="M14" s="35"/>
      <c r="N14" s="32">
        <f t="shared" si="0"/>
        <v>0.563400689223058</v>
      </c>
      <c r="P14" s="31" t="s">
        <v>12</v>
      </c>
      <c r="Q14" s="35">
        <f t="shared" si="1"/>
        <v>0.563400689223058</v>
      </c>
      <c r="R14" s="13">
        <f t="shared" si="2"/>
        <v>112.7</v>
      </c>
      <c r="S14" s="36">
        <f t="shared" si="3"/>
        <v>5.635</v>
      </c>
    </row>
    <row r="15" customHeight="1" spans="1:19">
      <c r="A15" s="31" t="s">
        <v>6</v>
      </c>
      <c r="B15" s="32">
        <v>0.507177033492823</v>
      </c>
      <c r="C15" s="32"/>
      <c r="D15" s="32">
        <v>0.410666666666667</v>
      </c>
      <c r="E15" s="32">
        <v>0.509803921568627</v>
      </c>
      <c r="F15" s="33">
        <v>0.575697211155379</v>
      </c>
      <c r="G15" s="33"/>
      <c r="H15" s="33"/>
      <c r="I15" s="33"/>
      <c r="J15" s="33"/>
      <c r="K15" s="34"/>
      <c r="L15" s="35"/>
      <c r="M15" s="35"/>
      <c r="N15" s="32">
        <f t="shared" si="0"/>
        <v>0.500836208220874</v>
      </c>
      <c r="P15" s="31" t="s">
        <v>6</v>
      </c>
      <c r="Q15" s="35">
        <f t="shared" si="1"/>
        <v>0.500836208220874</v>
      </c>
      <c r="R15" s="13">
        <f t="shared" si="2"/>
        <v>100.2</v>
      </c>
      <c r="S15" s="36">
        <f t="shared" si="3"/>
        <v>5.01</v>
      </c>
    </row>
    <row r="16" customHeight="1" spans="1:19">
      <c r="A16" s="11" t="s">
        <v>125</v>
      </c>
      <c r="B16" s="32">
        <v>0.501297802387956</v>
      </c>
      <c r="C16" s="32"/>
      <c r="D16" s="32">
        <v>0.491171477079796</v>
      </c>
      <c r="E16" s="38">
        <v>0.545469686875416</v>
      </c>
      <c r="F16" s="35">
        <v>0.609064012910167</v>
      </c>
      <c r="G16" s="35"/>
      <c r="H16" s="35"/>
      <c r="I16" s="35"/>
      <c r="J16" s="35"/>
      <c r="K16" s="35"/>
      <c r="L16" s="35"/>
      <c r="M16" s="35"/>
      <c r="N16" s="32">
        <f t="shared" si="0"/>
        <v>0.536750744813334</v>
      </c>
      <c r="P16" s="11" t="s">
        <v>125</v>
      </c>
      <c r="Q16" s="35">
        <f>AVERAGE(Q3:Q15)</f>
        <v>0.542911074672821</v>
      </c>
      <c r="R16" s="13">
        <f t="shared" si="2"/>
        <v>108.6</v>
      </c>
      <c r="S16" s="36">
        <f t="shared" si="3"/>
        <v>5.43</v>
      </c>
    </row>
    <row r="20" customHeight="1" spans="1:14">
      <c r="K20" s="39"/>
    </row>
    <row r="21" customHeight="1" spans="1:14">
      <c r="A21" s="29" t="s">
        <v>161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customHeight="1" spans="1:14">
      <c r="A22" s="11" t="s">
        <v>79</v>
      </c>
      <c r="B22" s="11" t="s">
        <v>128</v>
      </c>
      <c r="C22" s="11" t="s">
        <v>129</v>
      </c>
      <c r="D22" s="11" t="s">
        <v>130</v>
      </c>
      <c r="E22" s="11" t="s">
        <v>131</v>
      </c>
      <c r="F22" s="11" t="s">
        <v>132</v>
      </c>
      <c r="G22" s="11" t="s">
        <v>133</v>
      </c>
      <c r="H22" s="11" t="s">
        <v>134</v>
      </c>
      <c r="I22" s="11" t="s">
        <v>135</v>
      </c>
      <c r="J22" s="11" t="s">
        <v>136</v>
      </c>
      <c r="K22" s="11" t="s">
        <v>137</v>
      </c>
      <c r="L22" s="11" t="s">
        <v>138</v>
      </c>
      <c r="M22" s="11" t="s">
        <v>139</v>
      </c>
      <c r="N22" s="30" t="s">
        <v>158</v>
      </c>
    </row>
    <row r="23" customHeight="1" spans="1:14">
      <c r="A23" s="31" t="s">
        <v>13</v>
      </c>
      <c r="B23" s="32">
        <v>0.523206751054852</v>
      </c>
      <c r="C23" s="32">
        <v>0.472222222222222</v>
      </c>
      <c r="D23" s="34">
        <v>0.55421686746988</v>
      </c>
      <c r="E23" s="32">
        <v>0.49079754601227</v>
      </c>
      <c r="F23" s="33">
        <v>0.51409978308026</v>
      </c>
      <c r="G23" s="33">
        <v>0.529550827423168</v>
      </c>
      <c r="H23" s="33">
        <v>0.392059553349876</v>
      </c>
      <c r="I23" s="33">
        <v>0.358709677419355</v>
      </c>
      <c r="J23" s="33">
        <v>0.42687074829932</v>
      </c>
      <c r="K23" s="34"/>
      <c r="L23" s="35">
        <v>0.739495798319328</v>
      </c>
      <c r="M23" s="35">
        <v>0</v>
      </c>
      <c r="N23" s="32">
        <f t="shared" ref="N23:N36" si="4">AVERAGE(B23:M23)</f>
        <v>0.454657252240957</v>
      </c>
    </row>
    <row r="24" customHeight="1" spans="1:14">
      <c r="A24" s="31" t="s">
        <v>8</v>
      </c>
      <c r="B24" s="32">
        <v>0.472477064220183</v>
      </c>
      <c r="C24" s="32">
        <v>0.422696115765423</v>
      </c>
      <c r="D24" s="34">
        <v>0.401689708141321</v>
      </c>
      <c r="E24" s="32">
        <v>0.450779727095517</v>
      </c>
      <c r="F24" s="33">
        <v>0.453466814979607</v>
      </c>
      <c r="G24" s="33">
        <v>0.525589225589226</v>
      </c>
      <c r="H24" s="33">
        <v>0.411980440097799</v>
      </c>
      <c r="I24" s="33">
        <v>0.43213228035538</v>
      </c>
      <c r="J24" s="33">
        <v>0.466786895100691</v>
      </c>
      <c r="K24" s="34"/>
      <c r="L24" s="35">
        <v>0.536134453781513</v>
      </c>
      <c r="M24" s="35">
        <v>0.148282097649186</v>
      </c>
      <c r="N24" s="32">
        <f t="shared" si="4"/>
        <v>0.429274074797804</v>
      </c>
    </row>
    <row r="25" customHeight="1" spans="1:14">
      <c r="A25" s="31" t="s">
        <v>2</v>
      </c>
      <c r="B25" s="32">
        <v>0.686153846153846</v>
      </c>
      <c r="C25" s="32">
        <v>0.642011834319527</v>
      </c>
      <c r="D25" s="34">
        <v>0.68452380952381</v>
      </c>
      <c r="E25" s="32">
        <v>0.673036093418259</v>
      </c>
      <c r="F25" s="33">
        <v>0.670553935860058</v>
      </c>
      <c r="G25" s="33">
        <v>0.634246575342466</v>
      </c>
      <c r="H25" s="33">
        <v>0.545054945054945</v>
      </c>
      <c r="I25" s="33">
        <v>0.53758865248227</v>
      </c>
      <c r="J25" s="33">
        <v>0.590339892665474</v>
      </c>
      <c r="K25" s="34"/>
      <c r="L25" s="35">
        <v>0.732014388489209</v>
      </c>
      <c r="M25" s="35">
        <v>0.141414141414141</v>
      </c>
      <c r="N25" s="32">
        <f t="shared" si="4"/>
        <v>0.594267101338546</v>
      </c>
    </row>
    <row r="26" customHeight="1" spans="1:14">
      <c r="A26" s="31" t="s">
        <v>5</v>
      </c>
      <c r="B26" s="32">
        <v>0.474347434743474</v>
      </c>
      <c r="C26" s="32">
        <v>0.455595026642984</v>
      </c>
      <c r="D26" s="34">
        <v>0.554285714285714</v>
      </c>
      <c r="E26" s="32">
        <v>0.5</v>
      </c>
      <c r="F26" s="33">
        <v>0.522773623385452</v>
      </c>
      <c r="G26" s="33">
        <v>0.468053491827637</v>
      </c>
      <c r="H26" s="33">
        <v>0.435691318327974</v>
      </c>
      <c r="I26" s="33">
        <v>0.442924528301887</v>
      </c>
      <c r="J26" s="33">
        <v>0.458781362007168</v>
      </c>
      <c r="K26" s="34"/>
      <c r="L26" s="35">
        <v>0.656891495601173</v>
      </c>
      <c r="M26" s="35">
        <v>0.666666666666667</v>
      </c>
      <c r="N26" s="32">
        <f t="shared" si="4"/>
        <v>0.512364605617285</v>
      </c>
    </row>
    <row r="27" customHeight="1" spans="1:14">
      <c r="A27" s="31" t="s">
        <v>14</v>
      </c>
      <c r="B27" s="32">
        <v>0.620879120879121</v>
      </c>
      <c r="C27" s="32">
        <v>0.572687224669604</v>
      </c>
      <c r="D27" s="34">
        <v>0.506224066390041</v>
      </c>
      <c r="E27" s="32">
        <v>0.491379310344828</v>
      </c>
      <c r="F27" s="33">
        <v>0.534</v>
      </c>
      <c r="G27" s="33">
        <v>0.587301587301587</v>
      </c>
      <c r="H27" s="33">
        <v>0.569230769230769</v>
      </c>
      <c r="I27" s="33">
        <v>0.537205081669691</v>
      </c>
      <c r="J27" s="33">
        <v>0.538116591928251</v>
      </c>
      <c r="K27" s="34"/>
      <c r="L27" s="35">
        <v>0.448818897637795</v>
      </c>
      <c r="M27" s="35">
        <v>0</v>
      </c>
      <c r="N27" s="32">
        <f t="shared" si="4"/>
        <v>0.49144024091379</v>
      </c>
    </row>
    <row r="28" customHeight="1" spans="1:14">
      <c r="A28" s="31" t="s">
        <v>3</v>
      </c>
      <c r="B28" s="32">
        <v>0.465221318879855</v>
      </c>
      <c r="C28" s="32">
        <v>0.488847583643123</v>
      </c>
      <c r="D28" s="34">
        <v>0.468390804597701</v>
      </c>
      <c r="E28" s="32">
        <v>0.508038585209003</v>
      </c>
      <c r="F28" s="33">
        <v>0.485</v>
      </c>
      <c r="G28" s="33">
        <v>0.461907043603258</v>
      </c>
      <c r="H28" s="33">
        <v>0.466666666666667</v>
      </c>
      <c r="I28" s="33">
        <v>0.455430006277464</v>
      </c>
      <c r="J28" s="33">
        <v>0.498</v>
      </c>
      <c r="K28" s="34"/>
      <c r="L28" s="35">
        <v>0.547423450336072</v>
      </c>
      <c r="M28" s="35">
        <v>0.53</v>
      </c>
      <c r="N28" s="32">
        <f t="shared" si="4"/>
        <v>0.488629587201195</v>
      </c>
    </row>
    <row r="29" customHeight="1" spans="1:14">
      <c r="A29" s="31" t="s">
        <v>4</v>
      </c>
      <c r="B29" s="32">
        <v>0.527906976744186</v>
      </c>
      <c r="C29" s="32">
        <v>0.555555555555556</v>
      </c>
      <c r="D29" s="34">
        <v>0.566265060240964</v>
      </c>
      <c r="E29" s="32">
        <v>0.543252595155709</v>
      </c>
      <c r="F29" s="33">
        <v>0.571056062581486</v>
      </c>
      <c r="G29" s="33">
        <v>0.528301886792453</v>
      </c>
      <c r="H29" s="33">
        <v>0.525787965616046</v>
      </c>
      <c r="I29" s="33">
        <v>0.47318339100346</v>
      </c>
      <c r="J29" s="33">
        <v>0.523522316043426</v>
      </c>
      <c r="K29" s="34"/>
      <c r="L29" s="35">
        <v>0.660130718954248</v>
      </c>
      <c r="M29" s="35">
        <v>0.303030303030303</v>
      </c>
      <c r="N29" s="32">
        <f t="shared" si="4"/>
        <v>0.525272075610712</v>
      </c>
    </row>
    <row r="30" customHeight="1" spans="1:14">
      <c r="A30" s="31" t="s">
        <v>10</v>
      </c>
      <c r="B30" s="32">
        <v>0.548051948051948</v>
      </c>
      <c r="C30" s="32">
        <v>0.549618320610687</v>
      </c>
      <c r="D30" s="34">
        <v>0.590666666666667</v>
      </c>
      <c r="E30" s="32">
        <v>0.55637707948244</v>
      </c>
      <c r="F30" s="33">
        <v>0.595221363316936</v>
      </c>
      <c r="G30" s="33">
        <v>0.562953197099539</v>
      </c>
      <c r="H30" s="33">
        <v>0.507890961262554</v>
      </c>
      <c r="I30" s="33">
        <v>0.489970123772941</v>
      </c>
      <c r="J30" s="33">
        <v>0.481876332622601</v>
      </c>
      <c r="K30" s="34"/>
      <c r="L30" s="35">
        <v>0.741410488245931</v>
      </c>
      <c r="M30" s="35">
        <v>0.25</v>
      </c>
      <c r="N30" s="32">
        <f t="shared" si="4"/>
        <v>0.534003316466568</v>
      </c>
    </row>
    <row r="31" customHeight="1" spans="1:14">
      <c r="A31" s="31" t="s">
        <v>9</v>
      </c>
      <c r="B31" s="32">
        <v>0.563291139240506</v>
      </c>
      <c r="C31" s="32">
        <v>0.590342679127726</v>
      </c>
      <c r="D31" s="34">
        <v>0.579967689822294</v>
      </c>
      <c r="E31" s="32">
        <v>0.513274336283186</v>
      </c>
      <c r="F31" s="33">
        <v>0.550075872534143</v>
      </c>
      <c r="G31" s="33">
        <v>0.513129879347055</v>
      </c>
      <c r="H31" s="33">
        <v>0.548359240069085</v>
      </c>
      <c r="I31" s="33">
        <v>0.537467700258398</v>
      </c>
      <c r="J31" s="33">
        <v>0.491170699803793</v>
      </c>
      <c r="K31" s="34"/>
      <c r="L31" s="35">
        <v>0.756756756756757</v>
      </c>
      <c r="M31" s="35">
        <v>0.666666666666667</v>
      </c>
      <c r="N31" s="32">
        <f t="shared" si="4"/>
        <v>0.573682059991783</v>
      </c>
    </row>
    <row r="32" customHeight="1" spans="1:14">
      <c r="A32" s="31" t="s">
        <v>7</v>
      </c>
      <c r="B32" s="32">
        <v>0.573122529644269</v>
      </c>
      <c r="C32" s="32">
        <v>0.582375478927203</v>
      </c>
      <c r="D32" s="34">
        <v>0.573839662447257</v>
      </c>
      <c r="E32" s="32">
        <v>0.492163009404389</v>
      </c>
      <c r="F32" s="33">
        <v>0.551339285714286</v>
      </c>
      <c r="G32" s="33">
        <v>0.494929006085193</v>
      </c>
      <c r="H32" s="33">
        <v>0.537525354969574</v>
      </c>
      <c r="I32" s="33">
        <v>0.515544041450777</v>
      </c>
      <c r="J32" s="33">
        <v>0.520593080724876</v>
      </c>
      <c r="K32" s="34"/>
      <c r="L32" s="35">
        <v>0.747474747474748</v>
      </c>
      <c r="M32" s="35">
        <v>0.333333333333333</v>
      </c>
      <c r="N32" s="32">
        <f t="shared" si="4"/>
        <v>0.538385411834173</v>
      </c>
    </row>
    <row r="33" customHeight="1" spans="1:14">
      <c r="A33" s="31" t="s">
        <v>11</v>
      </c>
      <c r="B33" s="32">
        <v>0.482717520858164</v>
      </c>
      <c r="C33" s="32">
        <v>0.486284289276808</v>
      </c>
      <c r="D33" s="34">
        <v>0.490770901194354</v>
      </c>
      <c r="E33" s="32">
        <v>0.396940418679549</v>
      </c>
      <c r="F33" s="33">
        <v>0.420761670761671</v>
      </c>
      <c r="G33" s="33">
        <v>0.510834236186349</v>
      </c>
      <c r="H33" s="33">
        <v>0.429967426710098</v>
      </c>
      <c r="I33" s="33">
        <v>0.436491935483871</v>
      </c>
      <c r="J33" s="33">
        <v>0.472691807542263</v>
      </c>
      <c r="K33" s="34"/>
      <c r="L33" s="35">
        <v>0.646176911544228</v>
      </c>
      <c r="M33" s="35">
        <v>0.200652528548124</v>
      </c>
      <c r="N33" s="32">
        <f t="shared" si="4"/>
        <v>0.452208149707771</v>
      </c>
    </row>
    <row r="34" customHeight="1" spans="1:14">
      <c r="A34" s="31" t="s">
        <v>12</v>
      </c>
      <c r="B34" s="32">
        <v>0.52</v>
      </c>
      <c r="C34" s="32">
        <v>0.575342465753425</v>
      </c>
      <c r="D34" s="34">
        <v>0.403973509933775</v>
      </c>
      <c r="E34" s="32">
        <v>0.507389162561576</v>
      </c>
      <c r="F34" s="33">
        <v>0.544802867383513</v>
      </c>
      <c r="G34" s="33">
        <v>0.530769230769231</v>
      </c>
      <c r="H34" s="33">
        <v>0.547325102880658</v>
      </c>
      <c r="I34" s="33">
        <v>0.452196382428941</v>
      </c>
      <c r="J34" s="33">
        <v>0.523364485981308</v>
      </c>
      <c r="K34" s="34"/>
      <c r="L34" s="35">
        <v>0.58974358974359</v>
      </c>
      <c r="M34" s="35">
        <v>0.666666666666667</v>
      </c>
      <c r="N34" s="32">
        <f t="shared" si="4"/>
        <v>0.532870314918426</v>
      </c>
    </row>
    <row r="35" customHeight="1" spans="1:14">
      <c r="A35" s="31" t="s">
        <v>6</v>
      </c>
      <c r="B35" s="32">
        <v>0.531120331950207</v>
      </c>
      <c r="C35" s="32">
        <v>0.5234375</v>
      </c>
      <c r="D35" s="34">
        <v>0.519823788546256</v>
      </c>
      <c r="E35" s="32">
        <v>0.51896813353566</v>
      </c>
      <c r="F35" s="33">
        <v>0.497732426303855</v>
      </c>
      <c r="G35" s="33">
        <v>0.487150837988827</v>
      </c>
      <c r="H35" s="33">
        <v>0.419006479481641</v>
      </c>
      <c r="I35" s="33">
        <v>0.443850267379679</v>
      </c>
      <c r="J35" s="33">
        <v>0.449339207048458</v>
      </c>
      <c r="K35" s="34"/>
      <c r="L35" s="35">
        <v>0.679878048780488</v>
      </c>
      <c r="M35" s="35">
        <v>0.333333333333333</v>
      </c>
      <c r="N35" s="32">
        <f t="shared" si="4"/>
        <v>0.491240032213491</v>
      </c>
    </row>
    <row r="36" customHeight="1" spans="1:14">
      <c r="A36" s="11" t="s">
        <v>125</v>
      </c>
      <c r="B36" s="32">
        <v>0.512291427843587</v>
      </c>
      <c r="C36" s="32">
        <v>0.506129154555794</v>
      </c>
      <c r="D36" s="34">
        <v>0.513815878150694</v>
      </c>
      <c r="E36" s="38">
        <v>0.497238586156112</v>
      </c>
      <c r="F36" s="35">
        <v>0.511924119241192</v>
      </c>
      <c r="G36" s="35">
        <v>0.517212152823054</v>
      </c>
      <c r="H36" s="35">
        <v>0.468585983328188</v>
      </c>
      <c r="I36" s="35">
        <v>0.462771409933837</v>
      </c>
      <c r="J36" s="35">
        <v>0.478729707311293</v>
      </c>
      <c r="K36" s="35"/>
      <c r="L36" s="35">
        <v>0.634732753837618</v>
      </c>
      <c r="M36" s="35">
        <v>0.180786686838124</v>
      </c>
      <c r="N36" s="32">
        <f t="shared" si="4"/>
        <v>0.480383441819954</v>
      </c>
    </row>
  </sheetData>
  <mergeCells count="2">
    <mergeCell ref="A1:N1"/>
    <mergeCell ref="A21:N21"/>
  </mergeCells>
  <conditionalFormatting sqref="I8">
    <cfRule type="cellIs" dxfId="1" priority="29" operator="lessThan">
      <formula>0.5</formula>
    </cfRule>
  </conditionalFormatting>
  <conditionalFormatting sqref="I28">
    <cfRule type="cellIs" dxfId="1" priority="3" operator="lessThan">
      <formula>0.5</formula>
    </cfRule>
  </conditionalFormatting>
  <conditionalFormatting sqref="M3:M7">
    <cfRule type="cellIs" dxfId="1" priority="39" operator="lessThan">
      <formula>0.5</formula>
    </cfRule>
  </conditionalFormatting>
  <conditionalFormatting sqref="M8:M15">
    <cfRule type="cellIs" dxfId="1" priority="34" operator="lessThan">
      <formula>0.5</formula>
    </cfRule>
  </conditionalFormatting>
  <conditionalFormatting sqref="M23:M27">
    <cfRule type="cellIs" dxfId="1" priority="6" operator="lessThan">
      <formula>0.5</formula>
    </cfRule>
  </conditionalFormatting>
  <conditionalFormatting sqref="M28:M35">
    <cfRule type="cellIs" dxfId="1" priority="4" operator="lessThan">
      <formula>0.5</formula>
    </cfRule>
  </conditionalFormatting>
  <conditionalFormatting sqref="B3:C6 E3:L6 N3:N6 B7:C7 E7:H7 J7:L7 N7:N16">
    <cfRule type="cellIs" dxfId="1" priority="40" operator="lessThan">
      <formula>0.5</formula>
    </cfRule>
  </conditionalFormatting>
  <conditionalFormatting sqref="D3:D6 D7">
    <cfRule type="cellIs" dxfId="1" priority="2" operator="lessThan">
      <formula>0.5</formula>
    </cfRule>
  </conditionalFormatting>
  <conditionalFormatting sqref="I7 B8:C8 E8:H8 J8:L8 B9:C15 E9:L15">
    <cfRule type="cellIs" dxfId="1" priority="35" operator="lessThan">
      <formula>0.5</formula>
    </cfRule>
  </conditionalFormatting>
  <conditionalFormatting sqref="D8 D9:D15">
    <cfRule type="cellIs" dxfId="1" priority="1" operator="lessThan">
      <formula>0.5</formula>
    </cfRule>
  </conditionalFormatting>
  <conditionalFormatting sqref="J23:L27 B23:H27 I23:I26 N23:N36">
    <cfRule type="cellIs" dxfId="1" priority="7" operator="lessThan">
      <formula>0.5</formula>
    </cfRule>
  </conditionalFormatting>
  <conditionalFormatting sqref="J28:L35 B28:H35 I29:I35 I27">
    <cfRule type="cellIs" dxfId="1" priority="5" operator="lessThan">
      <formula>0.5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workbookViewId="0">
      <selection activeCell="R25" sqref="R25:R26"/>
    </sheetView>
  </sheetViews>
  <sheetFormatPr defaultColWidth="9" defaultRowHeight="16.5"/>
  <cols>
    <col min="1" max="16384" width="9" style="21"/>
  </cols>
  <sheetData>
    <row r="1" s="21" customFormat="1" spans="1:17">
      <c r="A1" s="22" t="s">
        <v>162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  <c r="O1" s="23"/>
    </row>
    <row r="2" s="21" customFormat="1" spans="1:17">
      <c r="A2" s="24" t="s">
        <v>79</v>
      </c>
      <c r="B2" s="24" t="s">
        <v>128</v>
      </c>
      <c r="C2" s="24" t="s">
        <v>129</v>
      </c>
      <c r="D2" s="24" t="s">
        <v>130</v>
      </c>
      <c r="E2" s="24" t="s">
        <v>131</v>
      </c>
      <c r="F2" s="24" t="s">
        <v>132</v>
      </c>
      <c r="G2" s="24" t="s">
        <v>133</v>
      </c>
      <c r="H2" s="24" t="s">
        <v>134</v>
      </c>
      <c r="I2" s="24" t="s">
        <v>135</v>
      </c>
      <c r="J2" s="24" t="s">
        <v>136</v>
      </c>
      <c r="K2" s="24" t="s">
        <v>137</v>
      </c>
      <c r="L2" s="24" t="s">
        <v>138</v>
      </c>
      <c r="M2" s="24" t="s">
        <v>139</v>
      </c>
      <c r="N2" s="24" t="s">
        <v>163</v>
      </c>
      <c r="O2" s="23"/>
      <c r="P2" s="25" t="s">
        <v>79</v>
      </c>
      <c r="Q2" s="25" t="s">
        <v>80</v>
      </c>
    </row>
    <row r="3" s="21" customFormat="1" spans="1:17">
      <c r="A3" s="25" t="s">
        <v>13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>
        <f t="shared" ref="N3:N15" si="0">SUM(B3:M3)</f>
        <v>0</v>
      </c>
      <c r="O3" s="23"/>
      <c r="P3" s="27" t="s">
        <v>13</v>
      </c>
      <c r="Q3" s="27">
        <f>N3</f>
        <v>0</v>
      </c>
    </row>
    <row r="4" s="21" customFormat="1" spans="1:17">
      <c r="A4" s="25" t="s">
        <v>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>
        <f t="shared" si="0"/>
        <v>0</v>
      </c>
      <c r="O4" s="23"/>
      <c r="P4" s="27" t="s">
        <v>8</v>
      </c>
      <c r="Q4" s="27">
        <f t="shared" ref="Q4:Q15" si="1">N4</f>
        <v>0</v>
      </c>
    </row>
    <row r="5" s="21" customFormat="1" spans="1:17">
      <c r="A5" s="25" t="s">
        <v>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>
        <f t="shared" si="0"/>
        <v>0</v>
      </c>
      <c r="O5" s="23"/>
      <c r="P5" s="27" t="s">
        <v>2</v>
      </c>
      <c r="Q5" s="27">
        <f t="shared" si="1"/>
        <v>0</v>
      </c>
    </row>
    <row r="6" s="21" customFormat="1" spans="1:17">
      <c r="A6" s="25" t="s">
        <v>5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>
        <f t="shared" si="0"/>
        <v>0</v>
      </c>
      <c r="O6" s="23"/>
      <c r="P6" s="27" t="s">
        <v>5</v>
      </c>
      <c r="Q6" s="27">
        <f t="shared" si="1"/>
        <v>0</v>
      </c>
    </row>
    <row r="7" s="21" customFormat="1" spans="1:17">
      <c r="A7" s="25" t="s">
        <v>14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>
        <f t="shared" si="0"/>
        <v>0</v>
      </c>
      <c r="O7" s="23"/>
      <c r="P7" s="27" t="s">
        <v>14</v>
      </c>
      <c r="Q7" s="27">
        <f t="shared" si="1"/>
        <v>0</v>
      </c>
    </row>
    <row r="8" s="21" customFormat="1" spans="1:17">
      <c r="A8" s="25" t="s">
        <v>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>
        <f t="shared" si="0"/>
        <v>0</v>
      </c>
      <c r="O8" s="23"/>
      <c r="P8" s="27" t="s">
        <v>3</v>
      </c>
      <c r="Q8" s="27">
        <f t="shared" si="1"/>
        <v>0</v>
      </c>
    </row>
    <row r="9" s="21" customFormat="1" spans="1:17">
      <c r="A9" s="25" t="s">
        <v>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>
        <f t="shared" si="0"/>
        <v>0</v>
      </c>
      <c r="O9" s="23"/>
      <c r="P9" s="27" t="s">
        <v>4</v>
      </c>
      <c r="Q9" s="27">
        <f t="shared" si="1"/>
        <v>0</v>
      </c>
    </row>
    <row r="10" s="21" customFormat="1" spans="1:17">
      <c r="A10" s="25" t="s">
        <v>10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>
        <f t="shared" si="0"/>
        <v>0</v>
      </c>
      <c r="O10" s="23"/>
      <c r="P10" s="27" t="s">
        <v>10</v>
      </c>
      <c r="Q10" s="27">
        <f t="shared" si="1"/>
        <v>0</v>
      </c>
    </row>
    <row r="11" s="21" customFormat="1" spans="1:17">
      <c r="A11" s="25" t="s">
        <v>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>
        <f t="shared" si="0"/>
        <v>0</v>
      </c>
      <c r="O11" s="23"/>
      <c r="P11" s="27" t="s">
        <v>9</v>
      </c>
      <c r="Q11" s="27">
        <f t="shared" si="1"/>
        <v>0</v>
      </c>
    </row>
    <row r="12" s="21" customFormat="1" spans="1:17">
      <c r="A12" s="25" t="s">
        <v>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>
        <f t="shared" si="0"/>
        <v>0</v>
      </c>
      <c r="O12" s="23"/>
      <c r="P12" s="27" t="s">
        <v>7</v>
      </c>
      <c r="Q12" s="27">
        <f t="shared" si="1"/>
        <v>0</v>
      </c>
    </row>
    <row r="13" s="21" customFormat="1" spans="1:17">
      <c r="A13" s="25" t="s">
        <v>11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>
        <f t="shared" si="0"/>
        <v>0</v>
      </c>
      <c r="O13" s="23"/>
      <c r="P13" s="27" t="s">
        <v>11</v>
      </c>
      <c r="Q13" s="27">
        <f t="shared" si="1"/>
        <v>0</v>
      </c>
    </row>
    <row r="14" s="21" customFormat="1" spans="1:17">
      <c r="A14" s="25" t="s">
        <v>12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>
        <f t="shared" si="0"/>
        <v>0</v>
      </c>
      <c r="O14" s="23"/>
      <c r="P14" s="27" t="s">
        <v>12</v>
      </c>
      <c r="Q14" s="27">
        <f t="shared" si="1"/>
        <v>0</v>
      </c>
    </row>
    <row r="15" s="21" customFormat="1" spans="1:17">
      <c r="A15" s="25" t="s">
        <v>6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>
        <f t="shared" si="0"/>
        <v>0</v>
      </c>
      <c r="O15" s="23"/>
      <c r="P15" s="27" t="s">
        <v>6</v>
      </c>
      <c r="Q15" s="27">
        <f t="shared" si="1"/>
        <v>0</v>
      </c>
    </row>
    <row r="16" s="21" customFormat="1" spans="1:17">
      <c r="A16" s="23"/>
      <c r="B16" s="28"/>
      <c r="C16" s="28"/>
      <c r="D16" s="28"/>
      <c r="E16" s="28"/>
      <c r="F16" s="28"/>
      <c r="G16" s="28"/>
      <c r="H16" s="23"/>
      <c r="I16" s="23"/>
      <c r="J16" s="23"/>
      <c r="K16" s="23"/>
      <c r="L16" s="23"/>
      <c r="M16" s="23"/>
      <c r="N16" s="28"/>
      <c r="O16" s="28"/>
    </row>
  </sheetData>
  <mergeCells count="1">
    <mergeCell ref="A1:M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H22" sqref="H22:I22"/>
    </sheetView>
  </sheetViews>
  <sheetFormatPr defaultColWidth="9" defaultRowHeight="14.25"/>
  <cols>
    <col min="3" max="3" width="17" customWidth="1"/>
    <col min="5" max="5" width="53.625" customWidth="1"/>
    <col min="7" max="7" width="18.25" customWidth="1"/>
    <col min="8" max="8" width="15.375" customWidth="1"/>
    <col min="10" max="10" width="35.625" customWidth="1"/>
    <col min="11" max="11" width="9.875" customWidth="1"/>
  </cols>
  <sheetData>
    <row r="1" ht="22.5" customHeight="1" spans="1:11">
      <c r="A1" s="15" t="s">
        <v>164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ht="22" customHeight="1" spans="1:11">
      <c r="A2" s="16" t="s">
        <v>165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ht="22" customHeight="1" spans="1:11">
      <c r="A3" s="17" t="s">
        <v>38</v>
      </c>
      <c r="B3" s="17" t="s">
        <v>79</v>
      </c>
      <c r="C3" s="17" t="s">
        <v>166</v>
      </c>
      <c r="D3" s="17" t="s">
        <v>167</v>
      </c>
      <c r="E3" s="17" t="s">
        <v>168</v>
      </c>
      <c r="F3" s="17" t="s">
        <v>169</v>
      </c>
      <c r="G3" s="17" t="s">
        <v>170</v>
      </c>
      <c r="H3" s="17" t="s">
        <v>171</v>
      </c>
      <c r="I3" s="17" t="s">
        <v>172</v>
      </c>
      <c r="J3" s="17" t="s">
        <v>173</v>
      </c>
      <c r="K3" s="17" t="s">
        <v>43</v>
      </c>
    </row>
    <row r="4" ht="22" customHeight="1" spans="1:11">
      <c r="A4" s="18">
        <v>1</v>
      </c>
      <c r="B4" s="18"/>
      <c r="C4" s="19"/>
      <c r="D4" s="20"/>
      <c r="E4" s="20"/>
      <c r="F4" s="17"/>
      <c r="G4" s="20"/>
      <c r="H4" s="18"/>
      <c r="I4" s="18"/>
      <c r="J4" s="18"/>
      <c r="K4" s="17"/>
    </row>
    <row r="5" ht="22" customHeight="1" spans="1:11">
      <c r="A5" s="18">
        <v>2</v>
      </c>
      <c r="B5" s="18"/>
      <c r="C5" s="19"/>
      <c r="D5" s="20"/>
      <c r="E5" s="18"/>
      <c r="F5" s="20"/>
      <c r="G5" s="18"/>
      <c r="H5" s="18"/>
      <c r="I5" s="18"/>
      <c r="J5" s="18"/>
      <c r="K5" s="18"/>
    </row>
    <row r="6" ht="22" customHeight="1" spans="1:11">
      <c r="A6" s="18">
        <v>3</v>
      </c>
      <c r="B6" s="18"/>
      <c r="C6" s="19"/>
      <c r="D6" s="20"/>
      <c r="E6" s="18"/>
      <c r="F6" s="20"/>
      <c r="G6" s="18"/>
      <c r="H6" s="18"/>
      <c r="I6" s="18"/>
      <c r="J6" s="18"/>
      <c r="K6" s="18"/>
    </row>
    <row r="7" ht="22" customHeight="1" spans="1:11">
      <c r="A7" s="18">
        <v>4</v>
      </c>
      <c r="B7" s="18"/>
      <c r="C7" s="19"/>
      <c r="D7" s="20"/>
      <c r="E7" s="18"/>
      <c r="F7" s="20"/>
      <c r="G7" s="18"/>
      <c r="H7" s="18"/>
      <c r="I7" s="18"/>
      <c r="J7" s="18"/>
      <c r="K7" s="18"/>
    </row>
    <row r="8" ht="22" customHeight="1" spans="1:11">
      <c r="A8" s="18">
        <v>5</v>
      </c>
      <c r="B8" s="18"/>
      <c r="C8" s="19"/>
      <c r="D8" s="20"/>
      <c r="E8" s="18"/>
      <c r="F8" s="20"/>
      <c r="G8" s="20"/>
      <c r="H8" s="18"/>
      <c r="I8" s="18"/>
      <c r="J8" s="18"/>
      <c r="K8" s="18"/>
    </row>
    <row r="9" ht="22" customHeight="1" spans="1:11">
      <c r="A9" s="18">
        <v>6</v>
      </c>
      <c r="B9" s="18"/>
      <c r="C9" s="19"/>
      <c r="D9" s="20"/>
      <c r="E9" s="18"/>
      <c r="F9" s="20"/>
      <c r="G9" s="20"/>
      <c r="H9" s="18"/>
      <c r="I9" s="18"/>
      <c r="J9" s="18"/>
      <c r="K9" s="18"/>
    </row>
    <row r="10" ht="22" customHeight="1" spans="1:11">
      <c r="A10" s="18">
        <v>7</v>
      </c>
      <c r="B10" s="18"/>
      <c r="C10" s="19"/>
      <c r="D10" s="20"/>
      <c r="E10" s="18"/>
      <c r="F10" s="20"/>
      <c r="G10" s="20"/>
      <c r="H10" s="18"/>
      <c r="I10" s="18"/>
      <c r="J10" s="18"/>
      <c r="K10" s="18"/>
    </row>
    <row r="11" ht="22" customHeight="1" spans="1:11">
      <c r="A11" s="18">
        <v>8</v>
      </c>
      <c r="B11" s="18"/>
      <c r="C11" s="19"/>
      <c r="D11" s="20"/>
      <c r="E11" s="18"/>
      <c r="F11" s="20"/>
      <c r="G11" s="20"/>
      <c r="H11" s="18"/>
      <c r="I11" s="18"/>
      <c r="J11" s="18"/>
      <c r="K11" s="18"/>
    </row>
    <row r="12" ht="22" customHeight="1" spans="1:11">
      <c r="A12" s="18">
        <v>9</v>
      </c>
      <c r="B12" s="18"/>
      <c r="C12" s="19"/>
      <c r="D12" s="20"/>
      <c r="E12" s="18"/>
      <c r="F12" s="20"/>
      <c r="G12" s="18"/>
      <c r="H12" s="18"/>
      <c r="I12" s="18"/>
      <c r="J12" s="18"/>
      <c r="K12" s="18"/>
    </row>
    <row r="13" ht="22" customHeight="1" spans="1:11">
      <c r="A13" s="18">
        <v>10</v>
      </c>
      <c r="B13" s="18"/>
      <c r="C13" s="19"/>
      <c r="D13" s="20"/>
      <c r="E13" s="18"/>
      <c r="F13" s="20"/>
      <c r="G13" s="18"/>
      <c r="H13" s="18"/>
      <c r="I13" s="18"/>
      <c r="J13" s="18"/>
      <c r="K13" s="18"/>
    </row>
    <row r="14" ht="22" customHeight="1" spans="1:11">
      <c r="A14" s="18">
        <v>11</v>
      </c>
      <c r="B14" s="18"/>
      <c r="C14" s="19"/>
      <c r="D14" s="20"/>
      <c r="E14" s="18"/>
      <c r="F14" s="20"/>
      <c r="G14" s="18"/>
      <c r="H14" s="18"/>
      <c r="I14" s="18"/>
      <c r="J14" s="18"/>
      <c r="K14" s="18"/>
    </row>
    <row r="15" ht="22" customHeight="1" spans="1:11">
      <c r="A15" s="18">
        <v>12</v>
      </c>
      <c r="B15" s="18"/>
      <c r="C15" s="19"/>
      <c r="D15" s="20"/>
      <c r="E15" s="18"/>
      <c r="F15" s="18"/>
      <c r="G15" s="20"/>
      <c r="H15" s="18"/>
      <c r="I15" s="18"/>
      <c r="J15" s="18"/>
      <c r="K15" s="18"/>
    </row>
    <row r="16" ht="22" customHeight="1" spans="1:11">
      <c r="A16" s="18">
        <v>13</v>
      </c>
      <c r="B16" s="18"/>
      <c r="C16" s="19"/>
      <c r="D16" s="20"/>
      <c r="E16" s="18"/>
      <c r="F16" s="18"/>
      <c r="G16" s="20"/>
      <c r="H16" s="18"/>
      <c r="I16" s="18"/>
      <c r="J16" s="18"/>
      <c r="K16" s="18"/>
    </row>
    <row r="17" ht="22" customHeight="1" spans="1:11">
      <c r="A17" s="18">
        <v>14</v>
      </c>
      <c r="B17" s="18"/>
      <c r="C17" s="19"/>
      <c r="D17" s="20"/>
      <c r="E17" s="18"/>
      <c r="F17" s="18"/>
      <c r="G17" s="20"/>
      <c r="H17" s="18"/>
      <c r="I17" s="18"/>
      <c r="J17" s="18"/>
      <c r="K17" s="18"/>
    </row>
  </sheetData>
  <autoFilter xmlns:etc="http://www.wps.cn/officeDocument/2017/etCustomData" ref="A3:K17" etc:filterBottomFollowUsedRange="0">
    <extLst/>
  </autoFilter>
  <mergeCells count="2">
    <mergeCell ref="A1:K1"/>
    <mergeCell ref="A2:K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4"/>
  <sheetViews>
    <sheetView topLeftCell="A96" workbookViewId="0">
      <selection activeCell="R115" sqref="R115"/>
    </sheetView>
  </sheetViews>
  <sheetFormatPr defaultColWidth="7" defaultRowHeight="16.5"/>
  <cols>
    <col min="1" max="16384" width="7" style="9" customWidth="1"/>
  </cols>
  <sheetData>
    <row r="1" spans="1:29">
      <c r="A1" s="10" t="s">
        <v>128</v>
      </c>
      <c r="Q1" s="10" t="s">
        <v>129</v>
      </c>
    </row>
    <row r="2" spans="1:29">
      <c r="A2" s="11" t="s">
        <v>79</v>
      </c>
      <c r="B2" s="11" t="s">
        <v>174</v>
      </c>
      <c r="C2" s="11" t="s">
        <v>175</v>
      </c>
      <c r="D2" s="11" t="s">
        <v>176</v>
      </c>
      <c r="E2" s="11" t="s">
        <v>177</v>
      </c>
      <c r="F2" s="11" t="s">
        <v>178</v>
      </c>
      <c r="G2" s="11" t="s">
        <v>179</v>
      </c>
      <c r="H2" s="11" t="s">
        <v>180</v>
      </c>
      <c r="I2" s="11" t="s">
        <v>181</v>
      </c>
      <c r="J2" s="11" t="s">
        <v>182</v>
      </c>
      <c r="K2" s="11" t="s">
        <v>183</v>
      </c>
      <c r="L2" s="11" t="s">
        <v>85</v>
      </c>
      <c r="M2" s="12" t="s">
        <v>120</v>
      </c>
      <c r="Q2" s="11" t="s">
        <v>79</v>
      </c>
      <c r="R2" s="11" t="s">
        <v>174</v>
      </c>
      <c r="S2" s="11" t="s">
        <v>175</v>
      </c>
      <c r="T2" s="11" t="s">
        <v>176</v>
      </c>
      <c r="U2" s="11" t="s">
        <v>177</v>
      </c>
      <c r="V2" s="11" t="s">
        <v>178</v>
      </c>
      <c r="W2" s="11" t="s">
        <v>179</v>
      </c>
      <c r="X2" s="11" t="s">
        <v>180</v>
      </c>
      <c r="Y2" s="11" t="s">
        <v>181</v>
      </c>
      <c r="Z2" s="11" t="s">
        <v>182</v>
      </c>
      <c r="AA2" s="11" t="s">
        <v>183</v>
      </c>
      <c r="AB2" s="11" t="s">
        <v>85</v>
      </c>
      <c r="AC2" s="12" t="s">
        <v>120</v>
      </c>
    </row>
    <row r="3" spans="1:29">
      <c r="A3" s="13" t="s">
        <v>13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 t="e">
        <f t="shared" ref="M3:M16" si="0">(B3*1+C3*2+D3*3+E3*4+F3*5+G3*6+H3*7+I3*8+J3*9+K3*10)/L3</f>
        <v>#DIV/0!</v>
      </c>
      <c r="Q3" s="13" t="s">
        <v>13</v>
      </c>
      <c r="R3" s="13">
        <v>32</v>
      </c>
      <c r="S3" s="13">
        <v>6</v>
      </c>
      <c r="T3" s="13">
        <v>2</v>
      </c>
      <c r="U3" s="13"/>
      <c r="V3" s="13">
        <v>10</v>
      </c>
      <c r="W3" s="13">
        <v>2</v>
      </c>
      <c r="X3" s="13">
        <v>3</v>
      </c>
      <c r="Y3" s="13">
        <v>4</v>
      </c>
      <c r="Z3" s="13">
        <v>5</v>
      </c>
      <c r="AA3" s="13">
        <v>13</v>
      </c>
      <c r="AB3" s="13">
        <v>77</v>
      </c>
      <c r="AC3" s="14">
        <f t="shared" ref="AC3:AC16" si="1">(R3*1+S3*2+T3*3+U3*4+V3*5+W3*6+X3*7+Y3*8+Z3*9+AA3*10)/AB3</f>
        <v>4.41558441558442</v>
      </c>
    </row>
    <row r="4" spans="1:29">
      <c r="A4" s="13" t="s">
        <v>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4" t="e">
        <f t="shared" si="0"/>
        <v>#DIV/0!</v>
      </c>
      <c r="Q4" s="13" t="s">
        <v>8</v>
      </c>
      <c r="R4" s="13">
        <v>34</v>
      </c>
      <c r="S4" s="13"/>
      <c r="T4" s="13">
        <v>4</v>
      </c>
      <c r="U4" s="13"/>
      <c r="V4" s="13">
        <v>14</v>
      </c>
      <c r="W4" s="13">
        <v>11</v>
      </c>
      <c r="X4" s="13">
        <v>1</v>
      </c>
      <c r="Y4" s="13">
        <v>4</v>
      </c>
      <c r="Z4" s="13"/>
      <c r="AA4" s="13">
        <v>28</v>
      </c>
      <c r="AB4" s="13">
        <v>96</v>
      </c>
      <c r="AC4" s="14">
        <f t="shared" si="1"/>
        <v>5.21875</v>
      </c>
    </row>
    <row r="5" spans="1:29">
      <c r="A5" s="13" t="s">
        <v>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4" t="e">
        <f t="shared" si="0"/>
        <v>#DIV/0!</v>
      </c>
      <c r="Q5" s="13" t="s">
        <v>2</v>
      </c>
      <c r="R5" s="13">
        <v>27</v>
      </c>
      <c r="S5" s="13"/>
      <c r="T5" s="13"/>
      <c r="U5" s="13"/>
      <c r="V5" s="13">
        <v>2</v>
      </c>
      <c r="W5" s="13"/>
      <c r="X5" s="13">
        <v>4</v>
      </c>
      <c r="Y5" s="13">
        <v>9</v>
      </c>
      <c r="Z5" s="13">
        <v>2</v>
      </c>
      <c r="AA5" s="13">
        <v>31</v>
      </c>
      <c r="AB5" s="13">
        <v>75</v>
      </c>
      <c r="AC5" s="14">
        <f t="shared" si="1"/>
        <v>6.2</v>
      </c>
    </row>
    <row r="6" spans="1:29">
      <c r="A6" s="13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4" t="e">
        <f t="shared" si="0"/>
        <v>#DIV/0!</v>
      </c>
      <c r="Q6" s="13" t="s">
        <v>5</v>
      </c>
      <c r="R6" s="13">
        <v>48</v>
      </c>
      <c r="S6" s="13">
        <v>3</v>
      </c>
      <c r="T6" s="13">
        <v>2</v>
      </c>
      <c r="U6" s="13">
        <v>1</v>
      </c>
      <c r="V6" s="13">
        <v>8</v>
      </c>
      <c r="W6" s="13">
        <v>5</v>
      </c>
      <c r="X6" s="13">
        <v>9</v>
      </c>
      <c r="Y6" s="13">
        <v>5</v>
      </c>
      <c r="Z6" s="13">
        <v>3</v>
      </c>
      <c r="AA6" s="13">
        <v>29</v>
      </c>
      <c r="AB6" s="13">
        <v>113</v>
      </c>
      <c r="AC6" s="14">
        <f t="shared" si="1"/>
        <v>4.90265486725664</v>
      </c>
    </row>
    <row r="7" spans="1:29">
      <c r="A7" s="13" t="s">
        <v>14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 t="e">
        <f t="shared" si="0"/>
        <v>#DIV/0!</v>
      </c>
      <c r="Q7" s="13" t="s">
        <v>14</v>
      </c>
      <c r="R7" s="13">
        <v>9</v>
      </c>
      <c r="S7" s="13"/>
      <c r="T7" s="13"/>
      <c r="U7" s="13"/>
      <c r="V7" s="13">
        <v>1</v>
      </c>
      <c r="W7" s="13"/>
      <c r="X7" s="13"/>
      <c r="Y7" s="13">
        <v>2</v>
      </c>
      <c r="Z7" s="13"/>
      <c r="AA7" s="13">
        <v>1</v>
      </c>
      <c r="AB7" s="13">
        <v>13</v>
      </c>
      <c r="AC7" s="14">
        <f t="shared" si="1"/>
        <v>3.07692307692308</v>
      </c>
    </row>
    <row r="8" spans="1:29">
      <c r="A8" s="13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 t="e">
        <f t="shared" si="0"/>
        <v>#DIV/0!</v>
      </c>
      <c r="Q8" s="13" t="s">
        <v>3</v>
      </c>
      <c r="R8" s="13">
        <v>8</v>
      </c>
      <c r="S8" s="13"/>
      <c r="T8" s="13"/>
      <c r="U8" s="13"/>
      <c r="V8" s="13">
        <v>5</v>
      </c>
      <c r="W8" s="13">
        <v>3</v>
      </c>
      <c r="X8" s="13">
        <v>4</v>
      </c>
      <c r="Y8" s="13">
        <v>4</v>
      </c>
      <c r="Z8" s="13">
        <v>4</v>
      </c>
      <c r="AA8" s="13">
        <v>22</v>
      </c>
      <c r="AB8" s="13">
        <v>50</v>
      </c>
      <c r="AC8" s="14">
        <f t="shared" si="1"/>
        <v>7.34</v>
      </c>
    </row>
    <row r="9" spans="1:29">
      <c r="A9" s="13" t="s">
        <v>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4" t="e">
        <f t="shared" si="0"/>
        <v>#DIV/0!</v>
      </c>
      <c r="Q9" s="13" t="s">
        <v>4</v>
      </c>
      <c r="R9" s="13">
        <v>14</v>
      </c>
      <c r="S9" s="13"/>
      <c r="T9" s="13">
        <v>2</v>
      </c>
      <c r="U9" s="13"/>
      <c r="V9" s="13">
        <v>2</v>
      </c>
      <c r="W9" s="13">
        <v>3</v>
      </c>
      <c r="X9" s="13"/>
      <c r="Y9" s="13">
        <v>10</v>
      </c>
      <c r="Z9" s="13">
        <v>2</v>
      </c>
      <c r="AA9" s="13">
        <v>26</v>
      </c>
      <c r="AB9" s="13">
        <v>59</v>
      </c>
      <c r="AC9" s="14">
        <f t="shared" si="1"/>
        <v>6.88135593220339</v>
      </c>
    </row>
    <row r="10" spans="1:29">
      <c r="A10" s="13" t="s">
        <v>10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 t="e">
        <f t="shared" si="0"/>
        <v>#DIV/0!</v>
      </c>
      <c r="Q10" s="13" t="s">
        <v>10</v>
      </c>
      <c r="R10" s="13">
        <v>47</v>
      </c>
      <c r="S10" s="13"/>
      <c r="T10" s="13"/>
      <c r="U10" s="13">
        <v>2</v>
      </c>
      <c r="V10" s="13">
        <v>9</v>
      </c>
      <c r="W10" s="13">
        <v>1</v>
      </c>
      <c r="X10" s="13">
        <v>4</v>
      </c>
      <c r="Y10" s="13">
        <v>2</v>
      </c>
      <c r="Z10" s="13">
        <v>2</v>
      </c>
      <c r="AA10" s="13">
        <v>28</v>
      </c>
      <c r="AB10" s="13">
        <v>95</v>
      </c>
      <c r="AC10" s="14">
        <f t="shared" si="1"/>
        <v>4.71578947368421</v>
      </c>
    </row>
    <row r="11" spans="1:29">
      <c r="A11" s="13" t="s">
        <v>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 t="e">
        <f t="shared" si="0"/>
        <v>#DIV/0!</v>
      </c>
      <c r="Q11" s="13" t="s">
        <v>9</v>
      </c>
      <c r="R11" s="13">
        <v>44</v>
      </c>
      <c r="S11" s="13">
        <v>1</v>
      </c>
      <c r="T11" s="13">
        <v>3</v>
      </c>
      <c r="U11" s="13"/>
      <c r="V11" s="13">
        <v>3</v>
      </c>
      <c r="W11" s="13">
        <v>1</v>
      </c>
      <c r="X11" s="13">
        <v>2</v>
      </c>
      <c r="Y11" s="13">
        <v>4</v>
      </c>
      <c r="Z11" s="13">
        <v>1</v>
      </c>
      <c r="AA11" s="13">
        <v>8</v>
      </c>
      <c r="AB11" s="13">
        <v>67</v>
      </c>
      <c r="AC11" s="14">
        <f t="shared" si="1"/>
        <v>3.14925373134328</v>
      </c>
    </row>
    <row r="12" spans="1:29">
      <c r="A12" s="13" t="s">
        <v>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4" t="e">
        <f t="shared" si="0"/>
        <v>#DIV/0!</v>
      </c>
      <c r="Q12" s="13" t="s">
        <v>7</v>
      </c>
      <c r="R12" s="13">
        <v>9</v>
      </c>
      <c r="S12" s="13"/>
      <c r="T12" s="13"/>
      <c r="U12" s="13">
        <v>1</v>
      </c>
      <c r="V12" s="13">
        <v>1</v>
      </c>
      <c r="W12" s="13"/>
      <c r="X12" s="13">
        <v>1</v>
      </c>
      <c r="Y12" s="13">
        <v>2</v>
      </c>
      <c r="Z12" s="13">
        <v>1</v>
      </c>
      <c r="AA12" s="13">
        <v>9</v>
      </c>
      <c r="AB12" s="13">
        <v>24</v>
      </c>
      <c r="AC12" s="14">
        <f t="shared" si="1"/>
        <v>5.83333333333333</v>
      </c>
    </row>
    <row r="13" spans="1:29">
      <c r="A13" s="13" t="s">
        <v>11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4" t="e">
        <f t="shared" si="0"/>
        <v>#DIV/0!</v>
      </c>
      <c r="Q13" s="13" t="s">
        <v>11</v>
      </c>
      <c r="R13" s="13">
        <v>39</v>
      </c>
      <c r="S13" s="13">
        <v>3</v>
      </c>
      <c r="T13" s="13"/>
      <c r="U13" s="13"/>
      <c r="V13" s="13">
        <v>5</v>
      </c>
      <c r="W13" s="13"/>
      <c r="X13" s="13">
        <v>3</v>
      </c>
      <c r="Y13" s="13">
        <v>3</v>
      </c>
      <c r="Z13" s="13">
        <v>6</v>
      </c>
      <c r="AA13" s="13">
        <v>32</v>
      </c>
      <c r="AB13" s="13">
        <v>91</v>
      </c>
      <c r="AC13" s="14">
        <f t="shared" si="1"/>
        <v>5.37362637362637</v>
      </c>
    </row>
    <row r="14" spans="1:29">
      <c r="A14" s="13" t="s">
        <v>12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 t="e">
        <f t="shared" si="0"/>
        <v>#DIV/0!</v>
      </c>
      <c r="Q14" s="13" t="s">
        <v>12</v>
      </c>
      <c r="R14" s="13"/>
      <c r="S14" s="13"/>
      <c r="T14" s="13"/>
      <c r="U14" s="13"/>
      <c r="V14" s="13">
        <v>3</v>
      </c>
      <c r="W14" s="13">
        <v>1</v>
      </c>
      <c r="X14" s="13">
        <v>2</v>
      </c>
      <c r="Y14" s="13">
        <v>2</v>
      </c>
      <c r="Z14" s="13"/>
      <c r="AA14" s="13">
        <v>2</v>
      </c>
      <c r="AB14" s="13">
        <v>10</v>
      </c>
      <c r="AC14" s="14">
        <f t="shared" si="1"/>
        <v>7.1</v>
      </c>
    </row>
    <row r="15" spans="1:29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4" t="e">
        <f t="shared" si="0"/>
        <v>#DIV/0!</v>
      </c>
      <c r="Q15" s="13" t="s">
        <v>6</v>
      </c>
      <c r="R15" s="13">
        <v>18</v>
      </c>
      <c r="S15" s="13">
        <v>1</v>
      </c>
      <c r="T15" s="13">
        <v>1</v>
      </c>
      <c r="U15" s="13">
        <v>1</v>
      </c>
      <c r="V15" s="13">
        <v>3</v>
      </c>
      <c r="W15" s="13"/>
      <c r="X15" s="13">
        <v>4</v>
      </c>
      <c r="Y15" s="13">
        <v>6</v>
      </c>
      <c r="Z15" s="13">
        <v>6</v>
      </c>
      <c r="AA15" s="13">
        <v>24</v>
      </c>
      <c r="AB15" s="13">
        <v>64</v>
      </c>
      <c r="AC15" s="14">
        <f t="shared" si="1"/>
        <v>6.4375</v>
      </c>
    </row>
    <row r="16" spans="1:29">
      <c r="A16" s="13" t="s">
        <v>125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4" t="e">
        <f t="shared" si="0"/>
        <v>#DIV/0!</v>
      </c>
      <c r="Q16" s="13" t="s">
        <v>125</v>
      </c>
      <c r="R16" s="13">
        <v>329</v>
      </c>
      <c r="S16" s="13">
        <v>14</v>
      </c>
      <c r="T16" s="13">
        <v>14</v>
      </c>
      <c r="U16" s="13">
        <v>5</v>
      </c>
      <c r="V16" s="13">
        <v>66</v>
      </c>
      <c r="W16" s="13">
        <v>27</v>
      </c>
      <c r="X16" s="13">
        <v>37</v>
      </c>
      <c r="Y16" s="13">
        <v>57</v>
      </c>
      <c r="Z16" s="13">
        <v>32</v>
      </c>
      <c r="AA16" s="13">
        <v>253</v>
      </c>
      <c r="AB16" s="13">
        <v>834</v>
      </c>
      <c r="AC16" s="14">
        <f t="shared" si="1"/>
        <v>5.32853717026379</v>
      </c>
    </row>
    <row r="19" spans="1:29">
      <c r="A19" s="10" t="s">
        <v>130</v>
      </c>
      <c r="Q19" s="10" t="s">
        <v>131</v>
      </c>
    </row>
    <row r="20" spans="1:29">
      <c r="A20" s="11" t="s">
        <v>79</v>
      </c>
      <c r="B20" s="11" t="s">
        <v>174</v>
      </c>
      <c r="C20" s="11" t="s">
        <v>175</v>
      </c>
      <c r="D20" s="11" t="s">
        <v>176</v>
      </c>
      <c r="E20" s="11" t="s">
        <v>177</v>
      </c>
      <c r="F20" s="11" t="s">
        <v>178</v>
      </c>
      <c r="G20" s="11" t="s">
        <v>179</v>
      </c>
      <c r="H20" s="11" t="s">
        <v>180</v>
      </c>
      <c r="I20" s="11" t="s">
        <v>181</v>
      </c>
      <c r="J20" s="11" t="s">
        <v>182</v>
      </c>
      <c r="K20" s="11" t="s">
        <v>183</v>
      </c>
      <c r="L20" s="11" t="s">
        <v>85</v>
      </c>
      <c r="M20" s="12" t="s">
        <v>120</v>
      </c>
      <c r="Q20" s="11" t="s">
        <v>79</v>
      </c>
      <c r="R20" s="11" t="s">
        <v>174</v>
      </c>
      <c r="S20" s="11" t="s">
        <v>175</v>
      </c>
      <c r="T20" s="11" t="s">
        <v>176</v>
      </c>
      <c r="U20" s="11" t="s">
        <v>177</v>
      </c>
      <c r="V20" s="11" t="s">
        <v>178</v>
      </c>
      <c r="W20" s="11" t="s">
        <v>179</v>
      </c>
      <c r="X20" s="11" t="s">
        <v>180</v>
      </c>
      <c r="Y20" s="11" t="s">
        <v>181</v>
      </c>
      <c r="Z20" s="11" t="s">
        <v>182</v>
      </c>
      <c r="AA20" s="11" t="s">
        <v>183</v>
      </c>
      <c r="AB20" s="11" t="s">
        <v>85</v>
      </c>
      <c r="AC20" s="12" t="s">
        <v>120</v>
      </c>
    </row>
    <row r="21" spans="1:29">
      <c r="A21" s="13" t="s">
        <v>13</v>
      </c>
      <c r="B21" s="13">
        <v>26</v>
      </c>
      <c r="C21" s="13">
        <v>2</v>
      </c>
      <c r="D21" s="13">
        <v>1</v>
      </c>
      <c r="E21" s="13">
        <v>2</v>
      </c>
      <c r="F21" s="13">
        <v>6</v>
      </c>
      <c r="G21" s="13"/>
      <c r="H21" s="13"/>
      <c r="I21" s="13">
        <v>7</v>
      </c>
      <c r="J21" s="13">
        <v>4</v>
      </c>
      <c r="K21" s="13">
        <v>19</v>
      </c>
      <c r="L21" s="13">
        <v>67</v>
      </c>
      <c r="M21" s="14">
        <f t="shared" ref="M21:M34" si="2">(B21*1+C21*2+D21*3+E21*4+F21*5+G21*6+H21*7+I21*8+J21*9+K21*10)/L21</f>
        <v>5.26865671641791</v>
      </c>
      <c r="Q21" s="13" t="s">
        <v>13</v>
      </c>
      <c r="R21" s="13">
        <v>13</v>
      </c>
      <c r="S21" s="13"/>
      <c r="T21" s="13"/>
      <c r="U21" s="13"/>
      <c r="V21" s="13">
        <v>4</v>
      </c>
      <c r="W21" s="13">
        <v>3</v>
      </c>
      <c r="X21" s="13">
        <v>2</v>
      </c>
      <c r="Y21" s="13">
        <v>5</v>
      </c>
      <c r="Z21" s="13">
        <v>3</v>
      </c>
      <c r="AA21" s="13">
        <v>11</v>
      </c>
      <c r="AB21" s="13">
        <v>41</v>
      </c>
      <c r="AC21" s="14">
        <f t="shared" ref="AC21:AC34" si="3">(R21*1+S21*2+T21*3+U21*4+V21*5+W21*6+X21*7+Y21*8+Z21*9+AA21*10)/AB21</f>
        <v>5.90243902439024</v>
      </c>
    </row>
    <row r="22" spans="1:29">
      <c r="A22" s="13" t="s">
        <v>8</v>
      </c>
      <c r="B22" s="13">
        <v>34</v>
      </c>
      <c r="C22" s="13"/>
      <c r="D22" s="13">
        <v>2</v>
      </c>
      <c r="E22" s="13"/>
      <c r="F22" s="13">
        <v>8</v>
      </c>
      <c r="G22" s="13">
        <v>4</v>
      </c>
      <c r="H22" s="13"/>
      <c r="I22" s="13">
        <v>4</v>
      </c>
      <c r="J22" s="13">
        <v>5</v>
      </c>
      <c r="K22" s="13">
        <v>21</v>
      </c>
      <c r="L22" s="13">
        <v>78</v>
      </c>
      <c r="M22" s="14">
        <f t="shared" si="2"/>
        <v>5.01282051282051</v>
      </c>
      <c r="Q22" s="13" t="s">
        <v>8</v>
      </c>
      <c r="R22" s="13">
        <v>51</v>
      </c>
      <c r="S22" s="13">
        <v>3</v>
      </c>
      <c r="T22" s="13">
        <v>1</v>
      </c>
      <c r="U22" s="13"/>
      <c r="V22" s="13">
        <v>6</v>
      </c>
      <c r="W22" s="13">
        <v>1</v>
      </c>
      <c r="X22" s="13">
        <v>3</v>
      </c>
      <c r="Y22" s="13">
        <v>15</v>
      </c>
      <c r="Z22" s="13">
        <v>2</v>
      </c>
      <c r="AA22" s="13">
        <v>31</v>
      </c>
      <c r="AB22" s="13">
        <v>113</v>
      </c>
      <c r="AC22" s="14">
        <f t="shared" si="3"/>
        <v>5</v>
      </c>
    </row>
    <row r="23" spans="1:29">
      <c r="A23" s="13" t="s">
        <v>2</v>
      </c>
      <c r="B23" s="13">
        <v>26</v>
      </c>
      <c r="C23" s="13">
        <v>1</v>
      </c>
      <c r="D23" s="13">
        <v>2</v>
      </c>
      <c r="E23" s="13"/>
      <c r="F23" s="13">
        <v>6</v>
      </c>
      <c r="G23" s="13">
        <v>6</v>
      </c>
      <c r="H23" s="13">
        <v>1</v>
      </c>
      <c r="I23" s="13">
        <v>5</v>
      </c>
      <c r="J23" s="13">
        <v>2</v>
      </c>
      <c r="K23" s="13">
        <v>19</v>
      </c>
      <c r="L23" s="13">
        <v>68</v>
      </c>
      <c r="M23" s="14">
        <f t="shared" si="2"/>
        <v>5.22058823529412</v>
      </c>
      <c r="Q23" s="13" t="s">
        <v>2</v>
      </c>
      <c r="R23" s="13">
        <v>10</v>
      </c>
      <c r="S23" s="13"/>
      <c r="T23" s="13">
        <v>17</v>
      </c>
      <c r="U23" s="13"/>
      <c r="V23" s="13">
        <v>2</v>
      </c>
      <c r="W23" s="13">
        <v>1</v>
      </c>
      <c r="X23" s="13">
        <v>3</v>
      </c>
      <c r="Y23" s="13">
        <v>12</v>
      </c>
      <c r="Z23" s="13">
        <v>13</v>
      </c>
      <c r="AA23" s="13">
        <v>25</v>
      </c>
      <c r="AB23" s="13">
        <v>83</v>
      </c>
      <c r="AC23" s="14">
        <f t="shared" si="3"/>
        <v>6.75903614457831</v>
      </c>
    </row>
    <row r="24" spans="1:29">
      <c r="A24" s="13" t="s">
        <v>5</v>
      </c>
      <c r="B24" s="13">
        <v>57</v>
      </c>
      <c r="C24" s="13"/>
      <c r="D24" s="13">
        <v>2</v>
      </c>
      <c r="E24" s="13">
        <v>1</v>
      </c>
      <c r="F24" s="13">
        <v>11</v>
      </c>
      <c r="G24" s="13">
        <v>8</v>
      </c>
      <c r="H24" s="13">
        <v>4</v>
      </c>
      <c r="I24" s="13">
        <v>16</v>
      </c>
      <c r="J24" s="13">
        <v>9</v>
      </c>
      <c r="K24" s="13">
        <v>29</v>
      </c>
      <c r="L24" s="13">
        <v>137</v>
      </c>
      <c r="M24" s="14">
        <f t="shared" si="2"/>
        <v>5.08759124087591</v>
      </c>
      <c r="Q24" s="13" t="s">
        <v>5</v>
      </c>
      <c r="R24" s="13">
        <v>54</v>
      </c>
      <c r="S24" s="13"/>
      <c r="T24" s="13">
        <v>1</v>
      </c>
      <c r="U24" s="13"/>
      <c r="V24" s="13">
        <v>3</v>
      </c>
      <c r="W24" s="13">
        <v>6</v>
      </c>
      <c r="X24" s="13">
        <v>3</v>
      </c>
      <c r="Y24" s="13">
        <v>8</v>
      </c>
      <c r="Z24" s="13">
        <v>6</v>
      </c>
      <c r="AA24" s="13">
        <v>24</v>
      </c>
      <c r="AB24" s="13">
        <v>105</v>
      </c>
      <c r="AC24" s="14">
        <f t="shared" si="3"/>
        <v>4.63809523809524</v>
      </c>
    </row>
    <row r="25" spans="1:29">
      <c r="A25" s="13" t="s">
        <v>14</v>
      </c>
      <c r="B25" s="13">
        <v>14</v>
      </c>
      <c r="C25" s="13"/>
      <c r="D25" s="13"/>
      <c r="E25" s="13"/>
      <c r="F25" s="13">
        <v>5</v>
      </c>
      <c r="G25" s="13"/>
      <c r="H25" s="13">
        <v>1</v>
      </c>
      <c r="I25" s="13"/>
      <c r="J25" s="13">
        <v>3</v>
      </c>
      <c r="K25" s="13">
        <v>3</v>
      </c>
      <c r="L25" s="13">
        <v>26</v>
      </c>
      <c r="M25" s="14">
        <f t="shared" si="2"/>
        <v>3.96153846153846</v>
      </c>
      <c r="Q25" s="13" t="s">
        <v>14</v>
      </c>
      <c r="R25" s="13">
        <v>19</v>
      </c>
      <c r="S25" s="13"/>
      <c r="T25" s="13"/>
      <c r="U25" s="13"/>
      <c r="V25" s="13">
        <v>4</v>
      </c>
      <c r="W25" s="13"/>
      <c r="X25" s="13"/>
      <c r="Y25" s="13"/>
      <c r="Z25" s="13"/>
      <c r="AA25" s="13">
        <v>12</v>
      </c>
      <c r="AB25" s="13">
        <v>35</v>
      </c>
      <c r="AC25" s="14">
        <f t="shared" si="3"/>
        <v>4.54285714285714</v>
      </c>
    </row>
    <row r="26" spans="1:29">
      <c r="A26" s="13" t="s">
        <v>3</v>
      </c>
      <c r="B26" s="13">
        <v>11</v>
      </c>
      <c r="C26" s="13"/>
      <c r="D26" s="13"/>
      <c r="E26" s="13"/>
      <c r="F26" s="13">
        <v>2</v>
      </c>
      <c r="G26" s="13">
        <v>1</v>
      </c>
      <c r="H26" s="13">
        <v>2</v>
      </c>
      <c r="I26" s="13">
        <v>11</v>
      </c>
      <c r="J26" s="13">
        <v>6</v>
      </c>
      <c r="K26" s="13">
        <v>54</v>
      </c>
      <c r="L26" s="13">
        <v>87</v>
      </c>
      <c r="M26" s="14">
        <f t="shared" si="2"/>
        <v>8.31034482758621</v>
      </c>
      <c r="Q26" s="13" t="s">
        <v>3</v>
      </c>
      <c r="R26" s="13">
        <v>23</v>
      </c>
      <c r="S26" s="13">
        <v>1</v>
      </c>
      <c r="T26" s="13">
        <v>3</v>
      </c>
      <c r="U26" s="13">
        <v>1</v>
      </c>
      <c r="V26" s="13">
        <v>4</v>
      </c>
      <c r="W26" s="13">
        <v>3</v>
      </c>
      <c r="X26" s="13">
        <v>3</v>
      </c>
      <c r="Y26" s="13">
        <v>13</v>
      </c>
      <c r="Z26" s="13">
        <v>11</v>
      </c>
      <c r="AA26" s="13">
        <v>45</v>
      </c>
      <c r="AB26" s="13">
        <v>107</v>
      </c>
      <c r="AC26" s="14">
        <f t="shared" si="3"/>
        <v>7.00934579439252</v>
      </c>
    </row>
    <row r="27" spans="1:29">
      <c r="A27" s="13" t="s">
        <v>4</v>
      </c>
      <c r="B27" s="13">
        <v>6</v>
      </c>
      <c r="C27" s="13">
        <v>2</v>
      </c>
      <c r="D27" s="13">
        <v>3</v>
      </c>
      <c r="E27" s="13">
        <v>1</v>
      </c>
      <c r="F27" s="13">
        <v>2</v>
      </c>
      <c r="G27" s="13">
        <v>3</v>
      </c>
      <c r="H27" s="13">
        <v>6</v>
      </c>
      <c r="I27" s="13">
        <v>8</v>
      </c>
      <c r="J27" s="13">
        <v>13</v>
      </c>
      <c r="K27" s="13">
        <v>40</v>
      </c>
      <c r="L27" s="13">
        <v>84</v>
      </c>
      <c r="M27" s="14">
        <f t="shared" si="2"/>
        <v>8.02380952380952</v>
      </c>
      <c r="Q27" s="13" t="s">
        <v>4</v>
      </c>
      <c r="R27" s="13">
        <v>6</v>
      </c>
      <c r="S27" s="13"/>
      <c r="T27" s="13"/>
      <c r="U27" s="13"/>
      <c r="V27" s="13"/>
      <c r="W27" s="13">
        <v>7</v>
      </c>
      <c r="X27" s="13">
        <v>1</v>
      </c>
      <c r="Y27" s="13">
        <v>11</v>
      </c>
      <c r="Z27" s="13">
        <v>5</v>
      </c>
      <c r="AA27" s="13">
        <v>34</v>
      </c>
      <c r="AB27" s="13">
        <v>64</v>
      </c>
      <c r="AC27" s="14">
        <f t="shared" si="3"/>
        <v>8.25</v>
      </c>
    </row>
    <row r="28" spans="1:29">
      <c r="A28" s="13" t="s">
        <v>10</v>
      </c>
      <c r="B28" s="13">
        <v>39</v>
      </c>
      <c r="C28" s="13"/>
      <c r="D28" s="13">
        <v>4</v>
      </c>
      <c r="E28" s="13">
        <v>1</v>
      </c>
      <c r="F28" s="13">
        <v>6</v>
      </c>
      <c r="G28" s="13">
        <v>8</v>
      </c>
      <c r="H28" s="13">
        <v>2</v>
      </c>
      <c r="I28" s="13">
        <v>11</v>
      </c>
      <c r="J28" s="13">
        <v>2</v>
      </c>
      <c r="K28" s="13">
        <v>21</v>
      </c>
      <c r="L28" s="13">
        <v>94</v>
      </c>
      <c r="M28" s="14">
        <f t="shared" si="2"/>
        <v>4.92553191489362</v>
      </c>
      <c r="Q28" s="13" t="s">
        <v>10</v>
      </c>
      <c r="R28" s="13">
        <v>39</v>
      </c>
      <c r="S28" s="13">
        <v>6</v>
      </c>
      <c r="T28" s="13">
        <v>2</v>
      </c>
      <c r="U28" s="13"/>
      <c r="V28" s="13">
        <v>6</v>
      </c>
      <c r="W28" s="13">
        <v>5</v>
      </c>
      <c r="X28" s="13">
        <v>3</v>
      </c>
      <c r="Y28" s="13">
        <v>11</v>
      </c>
      <c r="Z28" s="13">
        <v>7</v>
      </c>
      <c r="AA28" s="13">
        <v>42</v>
      </c>
      <c r="AB28" s="13">
        <v>121</v>
      </c>
      <c r="AC28" s="14">
        <f t="shared" si="3"/>
        <v>5.8595041322314</v>
      </c>
    </row>
    <row r="29" spans="1:29">
      <c r="A29" s="13" t="s">
        <v>9</v>
      </c>
      <c r="B29" s="13">
        <v>71</v>
      </c>
      <c r="C29" s="13">
        <v>3</v>
      </c>
      <c r="D29" s="13">
        <v>3</v>
      </c>
      <c r="E29" s="13"/>
      <c r="F29" s="13">
        <v>11</v>
      </c>
      <c r="G29" s="13">
        <v>2</v>
      </c>
      <c r="H29" s="13">
        <v>2</v>
      </c>
      <c r="I29" s="13">
        <v>4</v>
      </c>
      <c r="J29" s="13">
        <v>4</v>
      </c>
      <c r="K29" s="13">
        <v>12</v>
      </c>
      <c r="L29" s="13">
        <v>112</v>
      </c>
      <c r="M29" s="14">
        <f t="shared" si="2"/>
        <v>3.16964285714286</v>
      </c>
      <c r="Q29" s="13" t="s">
        <v>9</v>
      </c>
      <c r="R29" s="13">
        <v>73</v>
      </c>
      <c r="S29" s="13">
        <v>3</v>
      </c>
      <c r="T29" s="13">
        <v>2</v>
      </c>
      <c r="U29" s="13"/>
      <c r="V29" s="13">
        <v>5</v>
      </c>
      <c r="W29" s="13">
        <v>1</v>
      </c>
      <c r="X29" s="13">
        <v>9</v>
      </c>
      <c r="Y29" s="13">
        <v>4</v>
      </c>
      <c r="Z29" s="13">
        <v>1</v>
      </c>
      <c r="AA29" s="13">
        <v>14</v>
      </c>
      <c r="AB29" s="13">
        <v>112</v>
      </c>
      <c r="AC29" s="14">
        <f t="shared" si="3"/>
        <v>3.21428571428571</v>
      </c>
    </row>
    <row r="30" spans="1:29">
      <c r="A30" s="13" t="s">
        <v>7</v>
      </c>
      <c r="B30" s="13">
        <v>4</v>
      </c>
      <c r="C30" s="13"/>
      <c r="D30" s="13">
        <v>1</v>
      </c>
      <c r="E30" s="13"/>
      <c r="F30" s="13">
        <v>3</v>
      </c>
      <c r="G30" s="13">
        <v>2</v>
      </c>
      <c r="H30" s="13">
        <v>1</v>
      </c>
      <c r="I30" s="13">
        <v>6</v>
      </c>
      <c r="J30" s="13">
        <v>1</v>
      </c>
      <c r="K30" s="13">
        <v>16</v>
      </c>
      <c r="L30" s="13">
        <v>34</v>
      </c>
      <c r="M30" s="14">
        <f t="shared" si="2"/>
        <v>7.58823529411765</v>
      </c>
      <c r="Q30" s="13" t="s">
        <v>7</v>
      </c>
      <c r="R30" s="13">
        <v>9</v>
      </c>
      <c r="S30" s="13"/>
      <c r="T30" s="13"/>
      <c r="U30" s="13"/>
      <c r="V30" s="13">
        <v>2</v>
      </c>
      <c r="W30" s="13">
        <v>1</v>
      </c>
      <c r="X30" s="13">
        <v>1</v>
      </c>
      <c r="Y30" s="13">
        <v>3</v>
      </c>
      <c r="Z30" s="13">
        <v>2</v>
      </c>
      <c r="AA30" s="13">
        <v>6</v>
      </c>
      <c r="AB30" s="13">
        <v>24</v>
      </c>
      <c r="AC30" s="14">
        <f t="shared" si="3"/>
        <v>5.58333333333333</v>
      </c>
    </row>
    <row r="31" spans="1:29">
      <c r="A31" s="13" t="s">
        <v>11</v>
      </c>
      <c r="B31" s="13">
        <v>41</v>
      </c>
      <c r="C31" s="13">
        <v>2</v>
      </c>
      <c r="D31" s="13">
        <v>4</v>
      </c>
      <c r="E31" s="13"/>
      <c r="F31" s="13">
        <v>24</v>
      </c>
      <c r="G31" s="13">
        <v>7</v>
      </c>
      <c r="H31" s="13">
        <v>9</v>
      </c>
      <c r="I31" s="13">
        <v>12</v>
      </c>
      <c r="J31" s="13">
        <v>6</v>
      </c>
      <c r="K31" s="13">
        <v>39</v>
      </c>
      <c r="L31" s="13">
        <v>144</v>
      </c>
      <c r="M31" s="14">
        <f t="shared" si="2"/>
        <v>5.70833333333333</v>
      </c>
      <c r="Q31" s="13" t="s">
        <v>11</v>
      </c>
      <c r="R31" s="13">
        <v>75</v>
      </c>
      <c r="S31" s="13"/>
      <c r="T31" s="13">
        <v>5</v>
      </c>
      <c r="U31" s="13">
        <v>2</v>
      </c>
      <c r="V31" s="13">
        <v>13</v>
      </c>
      <c r="W31" s="13">
        <v>4</v>
      </c>
      <c r="X31" s="13">
        <v>10</v>
      </c>
      <c r="Y31" s="13">
        <v>20</v>
      </c>
      <c r="Z31" s="13">
        <v>7</v>
      </c>
      <c r="AA31" s="13">
        <v>60</v>
      </c>
      <c r="AB31" s="13">
        <v>196</v>
      </c>
      <c r="AC31" s="14">
        <f t="shared" si="3"/>
        <v>5.51020408163265</v>
      </c>
    </row>
    <row r="32" spans="1:29">
      <c r="A32" s="13" t="s">
        <v>12</v>
      </c>
      <c r="B32" s="13">
        <v>3</v>
      </c>
      <c r="C32" s="13"/>
      <c r="D32" s="13"/>
      <c r="E32" s="13"/>
      <c r="F32" s="13"/>
      <c r="G32" s="13">
        <v>1</v>
      </c>
      <c r="H32" s="13">
        <v>1</v>
      </c>
      <c r="I32" s="13">
        <v>1</v>
      </c>
      <c r="J32" s="13"/>
      <c r="K32" s="13">
        <v>2</v>
      </c>
      <c r="L32" s="13">
        <v>8</v>
      </c>
      <c r="M32" s="14">
        <f t="shared" si="2"/>
        <v>5.5</v>
      </c>
      <c r="Q32" s="13" t="s">
        <v>12</v>
      </c>
      <c r="R32" s="13">
        <v>54</v>
      </c>
      <c r="S32" s="13"/>
      <c r="T32" s="13"/>
      <c r="U32" s="13"/>
      <c r="V32" s="13">
        <v>4</v>
      </c>
      <c r="W32" s="13"/>
      <c r="X32" s="13"/>
      <c r="Y32" s="13">
        <v>3</v>
      </c>
      <c r="Z32" s="13">
        <v>1</v>
      </c>
      <c r="AA32" s="13">
        <v>4</v>
      </c>
      <c r="AB32" s="13">
        <v>66</v>
      </c>
      <c r="AC32" s="14">
        <f t="shared" si="3"/>
        <v>2.22727272727273</v>
      </c>
    </row>
    <row r="33" spans="1:29">
      <c r="A33" s="13" t="s">
        <v>6</v>
      </c>
      <c r="B33" s="13">
        <v>21</v>
      </c>
      <c r="C33" s="13"/>
      <c r="D33" s="13"/>
      <c r="E33" s="13"/>
      <c r="F33" s="13">
        <v>4</v>
      </c>
      <c r="G33" s="13">
        <v>4</v>
      </c>
      <c r="H33" s="13">
        <v>5</v>
      </c>
      <c r="I33" s="13">
        <v>6</v>
      </c>
      <c r="J33" s="13">
        <v>5</v>
      </c>
      <c r="K33" s="13">
        <v>20</v>
      </c>
      <c r="L33" s="13">
        <v>65</v>
      </c>
      <c r="M33" s="14">
        <f t="shared" si="2"/>
        <v>6.04615384615385</v>
      </c>
      <c r="Q33" s="13" t="s">
        <v>6</v>
      </c>
      <c r="R33" s="13">
        <v>38</v>
      </c>
      <c r="S33" s="13"/>
      <c r="T33" s="13">
        <v>5</v>
      </c>
      <c r="U33" s="13">
        <v>2</v>
      </c>
      <c r="V33" s="13">
        <v>5</v>
      </c>
      <c r="W33" s="13">
        <v>3</v>
      </c>
      <c r="X33" s="13">
        <v>3</v>
      </c>
      <c r="Y33" s="13">
        <v>7</v>
      </c>
      <c r="Z33" s="13">
        <v>7</v>
      </c>
      <c r="AA33" s="13">
        <v>21</v>
      </c>
      <c r="AB33" s="13">
        <v>91</v>
      </c>
      <c r="AC33" s="14">
        <f t="shared" si="3"/>
        <v>4.98901098901099</v>
      </c>
    </row>
    <row r="34" spans="1:29">
      <c r="A34" s="13" t="s">
        <v>125</v>
      </c>
      <c r="B34" s="13">
        <f>SUM(B21:B33)</f>
        <v>353</v>
      </c>
      <c r="C34" s="13">
        <f t="shared" ref="C34:L34" si="4">SUM(C21:C33)</f>
        <v>10</v>
      </c>
      <c r="D34" s="13">
        <f t="shared" si="4"/>
        <v>22</v>
      </c>
      <c r="E34" s="13">
        <f t="shared" si="4"/>
        <v>5</v>
      </c>
      <c r="F34" s="13">
        <f t="shared" si="4"/>
        <v>88</v>
      </c>
      <c r="G34" s="13">
        <f t="shared" si="4"/>
        <v>46</v>
      </c>
      <c r="H34" s="13">
        <f t="shared" si="4"/>
        <v>34</v>
      </c>
      <c r="I34" s="13">
        <f t="shared" si="4"/>
        <v>91</v>
      </c>
      <c r="J34" s="13">
        <f t="shared" si="4"/>
        <v>60</v>
      </c>
      <c r="K34" s="13">
        <f t="shared" si="4"/>
        <v>295</v>
      </c>
      <c r="L34" s="13">
        <f t="shared" si="4"/>
        <v>1004</v>
      </c>
      <c r="M34" s="14">
        <f t="shared" si="2"/>
        <v>5.60856573705179</v>
      </c>
      <c r="Q34" s="13" t="s">
        <v>125</v>
      </c>
      <c r="R34" s="13">
        <f t="shared" ref="R34:AB34" si="5">SUM(R21:R33)</f>
        <v>464</v>
      </c>
      <c r="S34" s="13">
        <f t="shared" si="5"/>
        <v>13</v>
      </c>
      <c r="T34" s="13">
        <f t="shared" si="5"/>
        <v>36</v>
      </c>
      <c r="U34" s="13">
        <f t="shared" si="5"/>
        <v>5</v>
      </c>
      <c r="V34" s="13">
        <f t="shared" si="5"/>
        <v>58</v>
      </c>
      <c r="W34" s="13">
        <f t="shared" si="5"/>
        <v>35</v>
      </c>
      <c r="X34" s="13">
        <f t="shared" si="5"/>
        <v>41</v>
      </c>
      <c r="Y34" s="13">
        <f t="shared" si="5"/>
        <v>112</v>
      </c>
      <c r="Z34" s="13">
        <f t="shared" si="5"/>
        <v>65</v>
      </c>
      <c r="AA34" s="13">
        <f t="shared" si="5"/>
        <v>329</v>
      </c>
      <c r="AB34" s="13">
        <f t="shared" si="5"/>
        <v>1158</v>
      </c>
      <c r="AC34" s="14">
        <f t="shared" si="3"/>
        <v>5.33333333333333</v>
      </c>
    </row>
    <row r="37" spans="1:29">
      <c r="A37" s="10" t="s">
        <v>132</v>
      </c>
      <c r="Q37" s="10" t="s">
        <v>133</v>
      </c>
    </row>
    <row r="38" spans="1:29">
      <c r="A38" s="11" t="s">
        <v>79</v>
      </c>
      <c r="B38" s="11" t="s">
        <v>174</v>
      </c>
      <c r="C38" s="11" t="s">
        <v>175</v>
      </c>
      <c r="D38" s="11" t="s">
        <v>176</v>
      </c>
      <c r="E38" s="11" t="s">
        <v>177</v>
      </c>
      <c r="F38" s="11" t="s">
        <v>178</v>
      </c>
      <c r="G38" s="11" t="s">
        <v>179</v>
      </c>
      <c r="H38" s="11" t="s">
        <v>180</v>
      </c>
      <c r="I38" s="11" t="s">
        <v>181</v>
      </c>
      <c r="J38" s="11" t="s">
        <v>182</v>
      </c>
      <c r="K38" s="11" t="s">
        <v>183</v>
      </c>
      <c r="L38" s="11" t="s">
        <v>85</v>
      </c>
      <c r="M38" s="12" t="s">
        <v>120</v>
      </c>
      <c r="Q38" s="11" t="s">
        <v>79</v>
      </c>
      <c r="R38" s="11" t="s">
        <v>174</v>
      </c>
      <c r="S38" s="11" t="s">
        <v>175</v>
      </c>
      <c r="T38" s="11" t="s">
        <v>176</v>
      </c>
      <c r="U38" s="11" t="s">
        <v>177</v>
      </c>
      <c r="V38" s="11" t="s">
        <v>178</v>
      </c>
      <c r="W38" s="11" t="s">
        <v>179</v>
      </c>
      <c r="X38" s="11" t="s">
        <v>180</v>
      </c>
      <c r="Y38" s="11" t="s">
        <v>181</v>
      </c>
      <c r="Z38" s="11" t="s">
        <v>182</v>
      </c>
      <c r="AA38" s="11" t="s">
        <v>183</v>
      </c>
      <c r="AB38" s="11" t="s">
        <v>85</v>
      </c>
      <c r="AC38" s="12" t="s">
        <v>120</v>
      </c>
    </row>
    <row r="39" spans="1:29">
      <c r="A39" s="13" t="s">
        <v>13</v>
      </c>
      <c r="B39" s="13">
        <v>11</v>
      </c>
      <c r="C39" s="13"/>
      <c r="D39" s="13"/>
      <c r="E39" s="13"/>
      <c r="F39" s="13">
        <v>11</v>
      </c>
      <c r="G39" s="13">
        <v>2</v>
      </c>
      <c r="H39" s="13">
        <v>2</v>
      </c>
      <c r="I39" s="13">
        <v>4</v>
      </c>
      <c r="J39" s="13">
        <v>2</v>
      </c>
      <c r="K39" s="13">
        <v>32</v>
      </c>
      <c r="L39" s="13">
        <v>64</v>
      </c>
      <c r="M39" s="14">
        <f t="shared" ref="M39:M52" si="6">(B39*1+C39*2+D39*3+E39*4+F39*5+G39*6+H39*7+I39*8+J39*9+K39*10)/L39</f>
        <v>7.21875</v>
      </c>
      <c r="Q39" s="13" t="s">
        <v>13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4" t="e">
        <f t="shared" ref="AC39:AC52" si="7">(R39*1+S39*2+T39*3+U39*4+V39*5+W39*6+X39*7+Y39*8+Z39*9+AA39*10)/AB39</f>
        <v>#DIV/0!</v>
      </c>
    </row>
    <row r="40" spans="1:29">
      <c r="A40" s="13" t="s">
        <v>8</v>
      </c>
      <c r="B40" s="13">
        <v>49</v>
      </c>
      <c r="C40" s="13"/>
      <c r="D40" s="13"/>
      <c r="E40" s="13">
        <v>1</v>
      </c>
      <c r="F40" s="13">
        <v>4</v>
      </c>
      <c r="G40" s="13">
        <v>4</v>
      </c>
      <c r="H40" s="13">
        <v>12</v>
      </c>
      <c r="I40" s="13">
        <v>12</v>
      </c>
      <c r="J40" s="13">
        <v>4</v>
      </c>
      <c r="K40" s="13">
        <v>32</v>
      </c>
      <c r="L40" s="13">
        <v>118</v>
      </c>
      <c r="M40" s="14">
        <f t="shared" si="6"/>
        <v>5.36440677966102</v>
      </c>
      <c r="Q40" s="13" t="s">
        <v>8</v>
      </c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4" t="e">
        <f t="shared" si="7"/>
        <v>#DIV/0!</v>
      </c>
    </row>
    <row r="41" spans="1:29">
      <c r="A41" s="13" t="s">
        <v>2</v>
      </c>
      <c r="B41" s="13">
        <v>20</v>
      </c>
      <c r="C41" s="13"/>
      <c r="D41" s="13"/>
      <c r="E41" s="13">
        <v>1</v>
      </c>
      <c r="F41" s="13">
        <v>4</v>
      </c>
      <c r="G41" s="13">
        <v>1</v>
      </c>
      <c r="H41" s="13">
        <v>3</v>
      </c>
      <c r="I41" s="13">
        <v>3</v>
      </c>
      <c r="J41" s="13">
        <v>2</v>
      </c>
      <c r="K41" s="13">
        <v>21</v>
      </c>
      <c r="L41" s="13">
        <v>55</v>
      </c>
      <c r="M41" s="14">
        <f t="shared" si="6"/>
        <v>5.87272727272727</v>
      </c>
      <c r="Q41" s="13" t="s">
        <v>2</v>
      </c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4" t="e">
        <f t="shared" si="7"/>
        <v>#DIV/0!</v>
      </c>
    </row>
    <row r="42" spans="1:29">
      <c r="A42" s="13" t="s">
        <v>5</v>
      </c>
      <c r="B42" s="13">
        <v>39</v>
      </c>
      <c r="C42" s="13">
        <v>2</v>
      </c>
      <c r="D42" s="13">
        <v>2</v>
      </c>
      <c r="E42" s="13">
        <v>2</v>
      </c>
      <c r="F42" s="13">
        <v>7</v>
      </c>
      <c r="G42" s="13">
        <v>1</v>
      </c>
      <c r="H42" s="13">
        <v>1</v>
      </c>
      <c r="I42" s="13">
        <v>16</v>
      </c>
      <c r="J42" s="13">
        <v>6</v>
      </c>
      <c r="K42" s="13">
        <v>38</v>
      </c>
      <c r="L42" s="13">
        <v>114</v>
      </c>
      <c r="M42" s="14">
        <f t="shared" si="6"/>
        <v>5.85087719298246</v>
      </c>
      <c r="Q42" s="13" t="s">
        <v>5</v>
      </c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4" t="e">
        <f t="shared" si="7"/>
        <v>#DIV/0!</v>
      </c>
    </row>
    <row r="43" spans="1:29">
      <c r="A43" s="13" t="s">
        <v>14</v>
      </c>
      <c r="B43" s="13">
        <v>5</v>
      </c>
      <c r="C43" s="13"/>
      <c r="D43" s="13"/>
      <c r="E43" s="13"/>
      <c r="F43" s="13">
        <v>1</v>
      </c>
      <c r="G43" s="13">
        <v>1</v>
      </c>
      <c r="H43" s="13"/>
      <c r="I43" s="13">
        <v>2</v>
      </c>
      <c r="J43" s="13">
        <v>1</v>
      </c>
      <c r="K43" s="13">
        <v>9</v>
      </c>
      <c r="L43" s="13">
        <v>19</v>
      </c>
      <c r="M43" s="14">
        <f t="shared" si="6"/>
        <v>6.89473684210526</v>
      </c>
      <c r="Q43" s="13" t="s">
        <v>14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4" t="e">
        <f t="shared" si="7"/>
        <v>#DIV/0!</v>
      </c>
    </row>
    <row r="44" spans="1:29">
      <c r="A44" s="13" t="s">
        <v>3</v>
      </c>
      <c r="B44" s="13">
        <v>22</v>
      </c>
      <c r="C44" s="13"/>
      <c r="D44" s="13"/>
      <c r="E44" s="13"/>
      <c r="F44" s="13">
        <v>3</v>
      </c>
      <c r="G44" s="13">
        <v>5</v>
      </c>
      <c r="H44" s="13">
        <v>3</v>
      </c>
      <c r="I44" s="13">
        <v>20</v>
      </c>
      <c r="J44" s="13">
        <v>9</v>
      </c>
      <c r="K44" s="13">
        <v>48</v>
      </c>
      <c r="L44" s="13">
        <v>110</v>
      </c>
      <c r="M44" s="14">
        <f t="shared" si="6"/>
        <v>7.35454545454545</v>
      </c>
      <c r="Q44" s="13" t="s">
        <v>3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4" t="e">
        <f t="shared" si="7"/>
        <v>#DIV/0!</v>
      </c>
    </row>
    <row r="45" spans="1:29">
      <c r="A45" s="13" t="s">
        <v>4</v>
      </c>
      <c r="B45" s="13">
        <v>19</v>
      </c>
      <c r="C45" s="13">
        <v>1</v>
      </c>
      <c r="D45" s="13">
        <v>3</v>
      </c>
      <c r="E45" s="13"/>
      <c r="F45" s="13">
        <v>9</v>
      </c>
      <c r="G45" s="13">
        <v>4</v>
      </c>
      <c r="H45" s="13">
        <v>3</v>
      </c>
      <c r="I45" s="13">
        <v>15</v>
      </c>
      <c r="J45" s="13">
        <v>9</v>
      </c>
      <c r="K45" s="13">
        <v>39</v>
      </c>
      <c r="L45" s="13">
        <v>102</v>
      </c>
      <c r="M45" s="14">
        <f t="shared" si="6"/>
        <v>6.97058823529412</v>
      </c>
      <c r="Q45" s="13" t="s">
        <v>4</v>
      </c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4" t="e">
        <f t="shared" si="7"/>
        <v>#DIV/0!</v>
      </c>
    </row>
    <row r="46" spans="1:29">
      <c r="A46" s="13" t="s">
        <v>10</v>
      </c>
      <c r="B46" s="13">
        <v>55</v>
      </c>
      <c r="C46" s="13">
        <v>1</v>
      </c>
      <c r="D46" s="13">
        <v>5</v>
      </c>
      <c r="E46" s="13">
        <v>3</v>
      </c>
      <c r="F46" s="13">
        <v>5</v>
      </c>
      <c r="G46" s="13">
        <v>4</v>
      </c>
      <c r="H46" s="13">
        <v>4</v>
      </c>
      <c r="I46" s="13">
        <v>4</v>
      </c>
      <c r="J46" s="13">
        <v>10</v>
      </c>
      <c r="K46" s="13">
        <v>43</v>
      </c>
      <c r="L46" s="13">
        <v>134</v>
      </c>
      <c r="M46" s="14">
        <f t="shared" si="6"/>
        <v>5.32089552238806</v>
      </c>
      <c r="Q46" s="13" t="s">
        <v>10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4" t="e">
        <f t="shared" si="7"/>
        <v>#DIV/0!</v>
      </c>
    </row>
    <row r="47" spans="1:29">
      <c r="A47" s="13" t="s">
        <v>9</v>
      </c>
      <c r="B47" s="13">
        <v>49</v>
      </c>
      <c r="C47" s="13">
        <v>1</v>
      </c>
      <c r="D47" s="13">
        <v>2</v>
      </c>
      <c r="E47" s="13"/>
      <c r="F47" s="13">
        <v>8</v>
      </c>
      <c r="G47" s="13"/>
      <c r="H47" s="13">
        <v>1</v>
      </c>
      <c r="I47" s="13">
        <v>6</v>
      </c>
      <c r="J47" s="13">
        <v>5</v>
      </c>
      <c r="K47" s="13">
        <v>15</v>
      </c>
      <c r="L47" s="13">
        <v>87</v>
      </c>
      <c r="M47" s="14">
        <f t="shared" si="6"/>
        <v>3.98850574712644</v>
      </c>
      <c r="Q47" s="13" t="s">
        <v>9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4" t="e">
        <f t="shared" si="7"/>
        <v>#DIV/0!</v>
      </c>
    </row>
    <row r="48" spans="1:29">
      <c r="A48" s="13" t="s">
        <v>7</v>
      </c>
      <c r="B48" s="13">
        <v>4</v>
      </c>
      <c r="C48" s="13"/>
      <c r="D48" s="13">
        <v>1</v>
      </c>
      <c r="E48" s="13"/>
      <c r="F48" s="13"/>
      <c r="G48" s="13">
        <v>2</v>
      </c>
      <c r="H48" s="13"/>
      <c r="I48" s="13"/>
      <c r="J48" s="13">
        <v>2</v>
      </c>
      <c r="K48" s="13">
        <v>3</v>
      </c>
      <c r="L48" s="13">
        <v>12</v>
      </c>
      <c r="M48" s="14">
        <f t="shared" si="6"/>
        <v>5.58333333333333</v>
      </c>
      <c r="Q48" s="13" t="s">
        <v>7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4" t="e">
        <f t="shared" si="7"/>
        <v>#DIV/0!</v>
      </c>
    </row>
    <row r="49" spans="1:29">
      <c r="A49" s="13" t="s">
        <v>11</v>
      </c>
      <c r="B49" s="13">
        <v>53</v>
      </c>
      <c r="C49" s="13">
        <v>1</v>
      </c>
      <c r="D49" s="13">
        <v>1</v>
      </c>
      <c r="E49" s="13"/>
      <c r="F49" s="13">
        <v>18</v>
      </c>
      <c r="G49" s="13">
        <v>6</v>
      </c>
      <c r="H49" s="13">
        <v>9</v>
      </c>
      <c r="I49" s="13">
        <v>20</v>
      </c>
      <c r="J49" s="13">
        <v>5</v>
      </c>
      <c r="K49" s="13">
        <v>63</v>
      </c>
      <c r="L49" s="13">
        <v>176</v>
      </c>
      <c r="M49" s="14">
        <f t="shared" si="6"/>
        <v>6.14772727272727</v>
      </c>
      <c r="Q49" s="13" t="s">
        <v>11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4" t="e">
        <f t="shared" si="7"/>
        <v>#DIV/0!</v>
      </c>
    </row>
    <row r="50" spans="1:29">
      <c r="A50" s="13" t="s">
        <v>12</v>
      </c>
      <c r="B50" s="13">
        <v>11</v>
      </c>
      <c r="C50" s="13">
        <v>2</v>
      </c>
      <c r="D50" s="13"/>
      <c r="E50" s="13"/>
      <c r="F50" s="13">
        <v>2</v>
      </c>
      <c r="G50" s="13"/>
      <c r="H50" s="13"/>
      <c r="I50" s="13">
        <v>3</v>
      </c>
      <c r="J50" s="13">
        <v>2</v>
      </c>
      <c r="K50" s="13">
        <v>5</v>
      </c>
      <c r="L50" s="13">
        <v>25</v>
      </c>
      <c r="M50" s="14">
        <f t="shared" si="6"/>
        <v>4.68</v>
      </c>
      <c r="Q50" s="13" t="s">
        <v>12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4" t="e">
        <f t="shared" si="7"/>
        <v>#DIV/0!</v>
      </c>
    </row>
    <row r="51" spans="1:29">
      <c r="A51" s="13" t="s">
        <v>6</v>
      </c>
      <c r="B51" s="13">
        <v>35</v>
      </c>
      <c r="C51" s="13"/>
      <c r="D51" s="13">
        <v>2</v>
      </c>
      <c r="E51" s="13"/>
      <c r="F51" s="13">
        <v>12</v>
      </c>
      <c r="G51" s="13">
        <v>3</v>
      </c>
      <c r="H51" s="13"/>
      <c r="I51" s="13">
        <v>14</v>
      </c>
      <c r="J51" s="13">
        <v>3</v>
      </c>
      <c r="K51" s="13">
        <v>26</v>
      </c>
      <c r="L51" s="13">
        <v>95</v>
      </c>
      <c r="M51" s="14">
        <f t="shared" si="6"/>
        <v>5.45263157894737</v>
      </c>
      <c r="Q51" s="13" t="s">
        <v>6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4" t="e">
        <f t="shared" si="7"/>
        <v>#DIV/0!</v>
      </c>
    </row>
    <row r="52" spans="1:29">
      <c r="A52" s="13" t="s">
        <v>125</v>
      </c>
      <c r="B52" s="13">
        <f t="shared" ref="B52:L52" si="8">SUM(B39:B51)</f>
        <v>372</v>
      </c>
      <c r="C52" s="13">
        <f t="shared" si="8"/>
        <v>8</v>
      </c>
      <c r="D52" s="13">
        <f t="shared" si="8"/>
        <v>16</v>
      </c>
      <c r="E52" s="13">
        <f t="shared" si="8"/>
        <v>7</v>
      </c>
      <c r="F52" s="13">
        <f t="shared" si="8"/>
        <v>84</v>
      </c>
      <c r="G52" s="13">
        <f t="shared" si="8"/>
        <v>33</v>
      </c>
      <c r="H52" s="13">
        <f t="shared" si="8"/>
        <v>38</v>
      </c>
      <c r="I52" s="13">
        <f t="shared" si="8"/>
        <v>119</v>
      </c>
      <c r="J52" s="13">
        <f t="shared" si="8"/>
        <v>60</v>
      </c>
      <c r="K52" s="13">
        <f t="shared" si="8"/>
        <v>374</v>
      </c>
      <c r="L52" s="13">
        <f t="shared" si="8"/>
        <v>1111</v>
      </c>
      <c r="M52" s="14">
        <f t="shared" si="6"/>
        <v>5.92259225922592</v>
      </c>
      <c r="Q52" s="13" t="s">
        <v>125</v>
      </c>
      <c r="R52" s="13">
        <f t="shared" ref="R52:AB52" si="9">SUM(R39:R51)</f>
        <v>0</v>
      </c>
      <c r="S52" s="13">
        <f t="shared" si="9"/>
        <v>0</v>
      </c>
      <c r="T52" s="13">
        <f t="shared" si="9"/>
        <v>0</v>
      </c>
      <c r="U52" s="13">
        <f t="shared" si="9"/>
        <v>0</v>
      </c>
      <c r="V52" s="13">
        <f t="shared" si="9"/>
        <v>0</v>
      </c>
      <c r="W52" s="13">
        <f t="shared" si="9"/>
        <v>0</v>
      </c>
      <c r="X52" s="13">
        <f t="shared" si="9"/>
        <v>0</v>
      </c>
      <c r="Y52" s="13">
        <f t="shared" si="9"/>
        <v>0</v>
      </c>
      <c r="Z52" s="13">
        <f t="shared" si="9"/>
        <v>0</v>
      </c>
      <c r="AA52" s="13">
        <f t="shared" si="9"/>
        <v>0</v>
      </c>
      <c r="AB52" s="13">
        <f t="shared" si="9"/>
        <v>0</v>
      </c>
      <c r="AC52" s="14" t="e">
        <f t="shared" si="7"/>
        <v>#DIV/0!</v>
      </c>
    </row>
    <row r="55" spans="1:29">
      <c r="A55" s="10" t="s">
        <v>134</v>
      </c>
      <c r="Q55" s="10" t="s">
        <v>135</v>
      </c>
    </row>
    <row r="56" spans="1:29">
      <c r="A56" s="11" t="s">
        <v>79</v>
      </c>
      <c r="B56" s="11" t="s">
        <v>174</v>
      </c>
      <c r="C56" s="11" t="s">
        <v>175</v>
      </c>
      <c r="D56" s="11" t="s">
        <v>176</v>
      </c>
      <c r="E56" s="11" t="s">
        <v>177</v>
      </c>
      <c r="F56" s="11" t="s">
        <v>178</v>
      </c>
      <c r="G56" s="11" t="s">
        <v>179</v>
      </c>
      <c r="H56" s="11" t="s">
        <v>180</v>
      </c>
      <c r="I56" s="11" t="s">
        <v>181</v>
      </c>
      <c r="J56" s="11" t="s">
        <v>182</v>
      </c>
      <c r="K56" s="11" t="s">
        <v>183</v>
      </c>
      <c r="L56" s="11" t="s">
        <v>85</v>
      </c>
      <c r="M56" s="12" t="s">
        <v>120</v>
      </c>
      <c r="Q56" s="11" t="s">
        <v>79</v>
      </c>
      <c r="R56" s="11" t="s">
        <v>174</v>
      </c>
      <c r="S56" s="11" t="s">
        <v>175</v>
      </c>
      <c r="T56" s="11" t="s">
        <v>176</v>
      </c>
      <c r="U56" s="11" t="s">
        <v>177</v>
      </c>
      <c r="V56" s="11" t="s">
        <v>178</v>
      </c>
      <c r="W56" s="11" t="s">
        <v>179</v>
      </c>
      <c r="X56" s="11" t="s">
        <v>180</v>
      </c>
      <c r="Y56" s="11" t="s">
        <v>181</v>
      </c>
      <c r="Z56" s="11" t="s">
        <v>182</v>
      </c>
      <c r="AA56" s="11" t="s">
        <v>183</v>
      </c>
      <c r="AB56" s="11" t="s">
        <v>85</v>
      </c>
      <c r="AC56" s="12" t="s">
        <v>120</v>
      </c>
    </row>
    <row r="57" spans="1:29">
      <c r="A57" s="13" t="s">
        <v>13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4" t="e">
        <f t="shared" ref="M57:M70" si="10">(B57*1+C57*2+D57*3+E57*4+F57*5+G57*6+H57*7+I57*8+J57*9+K57*10)/L57</f>
        <v>#DIV/0!</v>
      </c>
      <c r="Q57" s="13" t="s">
        <v>13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4" t="e">
        <f t="shared" ref="AC57:AC70" si="11">(R57*1+S57*2+T57*3+U57*4+V57*5+W57*6+X57*7+Y57*8+Z57*9+AA57*10)/AB57</f>
        <v>#DIV/0!</v>
      </c>
    </row>
    <row r="58" spans="1:29">
      <c r="A58" s="13" t="s">
        <v>8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4" t="e">
        <f t="shared" si="10"/>
        <v>#DIV/0!</v>
      </c>
      <c r="Q58" s="13" t="s">
        <v>8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4" t="e">
        <f t="shared" si="11"/>
        <v>#DIV/0!</v>
      </c>
    </row>
    <row r="59" spans="1:29">
      <c r="A59" s="13" t="s">
        <v>2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4" t="e">
        <f t="shared" si="10"/>
        <v>#DIV/0!</v>
      </c>
      <c r="Q59" s="13" t="s">
        <v>2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4" t="e">
        <f t="shared" si="11"/>
        <v>#DIV/0!</v>
      </c>
    </row>
    <row r="60" spans="1:29">
      <c r="A60" s="13" t="s">
        <v>5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4" t="e">
        <f t="shared" si="10"/>
        <v>#DIV/0!</v>
      </c>
      <c r="Q60" s="13" t="s">
        <v>5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4" t="e">
        <f t="shared" si="11"/>
        <v>#DIV/0!</v>
      </c>
    </row>
    <row r="61" spans="1:29">
      <c r="A61" s="13" t="s">
        <v>14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4" t="e">
        <f t="shared" si="10"/>
        <v>#DIV/0!</v>
      </c>
      <c r="Q61" s="13" t="s">
        <v>14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4" t="e">
        <f t="shared" si="11"/>
        <v>#DIV/0!</v>
      </c>
    </row>
    <row r="62" spans="1:29">
      <c r="A62" s="13" t="s">
        <v>3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4" t="e">
        <f t="shared" si="10"/>
        <v>#DIV/0!</v>
      </c>
      <c r="Q62" s="13" t="s">
        <v>3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4" t="e">
        <f t="shared" si="11"/>
        <v>#DIV/0!</v>
      </c>
    </row>
    <row r="63" spans="1:29">
      <c r="A63" s="13" t="s">
        <v>4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4" t="e">
        <f t="shared" si="10"/>
        <v>#DIV/0!</v>
      </c>
      <c r="Q63" s="13" t="s">
        <v>4</v>
      </c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4" t="e">
        <f t="shared" si="11"/>
        <v>#DIV/0!</v>
      </c>
    </row>
    <row r="64" spans="1:29">
      <c r="A64" s="13" t="s">
        <v>10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4" t="e">
        <f t="shared" si="10"/>
        <v>#DIV/0!</v>
      </c>
      <c r="Q64" s="13" t="s">
        <v>10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4" t="e">
        <f t="shared" si="11"/>
        <v>#DIV/0!</v>
      </c>
    </row>
    <row r="65" spans="1:29">
      <c r="A65" s="13" t="s">
        <v>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4" t="e">
        <f t="shared" si="10"/>
        <v>#DIV/0!</v>
      </c>
      <c r="Q65" s="13" t="s">
        <v>9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4" t="e">
        <f t="shared" si="11"/>
        <v>#DIV/0!</v>
      </c>
    </row>
    <row r="66" spans="1:29">
      <c r="A66" s="13" t="s">
        <v>7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4" t="e">
        <f t="shared" si="10"/>
        <v>#DIV/0!</v>
      </c>
      <c r="Q66" s="13" t="s">
        <v>7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4" t="e">
        <f t="shared" si="11"/>
        <v>#DIV/0!</v>
      </c>
    </row>
    <row r="67" spans="1:29">
      <c r="A67" s="13" t="s">
        <v>11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4" t="e">
        <f t="shared" si="10"/>
        <v>#DIV/0!</v>
      </c>
      <c r="Q67" s="13" t="s">
        <v>11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4" t="e">
        <f t="shared" si="11"/>
        <v>#DIV/0!</v>
      </c>
    </row>
    <row r="68" spans="1:29">
      <c r="A68" s="13" t="s">
        <v>12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4" t="e">
        <f t="shared" si="10"/>
        <v>#DIV/0!</v>
      </c>
      <c r="Q68" s="13" t="s">
        <v>12</v>
      </c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4" t="e">
        <f t="shared" si="11"/>
        <v>#DIV/0!</v>
      </c>
    </row>
    <row r="69" spans="1:29">
      <c r="A69" s="13" t="s">
        <v>6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4" t="e">
        <f t="shared" si="10"/>
        <v>#DIV/0!</v>
      </c>
      <c r="Q69" s="13" t="s">
        <v>6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4" t="e">
        <f t="shared" si="11"/>
        <v>#DIV/0!</v>
      </c>
    </row>
    <row r="70" spans="1:29">
      <c r="A70" s="13" t="s">
        <v>125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4" t="e">
        <f t="shared" si="10"/>
        <v>#DIV/0!</v>
      </c>
      <c r="Q70" s="13" t="s">
        <v>125</v>
      </c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4" t="e">
        <f t="shared" si="11"/>
        <v>#DIV/0!</v>
      </c>
    </row>
    <row r="73" spans="1:29">
      <c r="A73" s="10" t="s">
        <v>136</v>
      </c>
      <c r="Q73" s="10" t="s">
        <v>137</v>
      </c>
    </row>
    <row r="74" spans="1:29">
      <c r="A74" s="11" t="s">
        <v>79</v>
      </c>
      <c r="B74" s="11" t="s">
        <v>174</v>
      </c>
      <c r="C74" s="11" t="s">
        <v>175</v>
      </c>
      <c r="D74" s="11" t="s">
        <v>176</v>
      </c>
      <c r="E74" s="11" t="s">
        <v>177</v>
      </c>
      <c r="F74" s="11" t="s">
        <v>178</v>
      </c>
      <c r="G74" s="11" t="s">
        <v>179</v>
      </c>
      <c r="H74" s="11" t="s">
        <v>180</v>
      </c>
      <c r="I74" s="11" t="s">
        <v>181</v>
      </c>
      <c r="J74" s="11" t="s">
        <v>182</v>
      </c>
      <c r="K74" s="11" t="s">
        <v>183</v>
      </c>
      <c r="L74" s="11" t="s">
        <v>85</v>
      </c>
      <c r="M74" s="12" t="s">
        <v>120</v>
      </c>
      <c r="Q74" s="11" t="s">
        <v>79</v>
      </c>
      <c r="R74" s="11" t="s">
        <v>174</v>
      </c>
      <c r="S74" s="11" t="s">
        <v>175</v>
      </c>
      <c r="T74" s="11" t="s">
        <v>176</v>
      </c>
      <c r="U74" s="11" t="s">
        <v>177</v>
      </c>
      <c r="V74" s="11" t="s">
        <v>178</v>
      </c>
      <c r="W74" s="11" t="s">
        <v>179</v>
      </c>
      <c r="X74" s="11" t="s">
        <v>180</v>
      </c>
      <c r="Y74" s="11" t="s">
        <v>181</v>
      </c>
      <c r="Z74" s="11" t="s">
        <v>182</v>
      </c>
      <c r="AA74" s="11" t="s">
        <v>183</v>
      </c>
      <c r="AB74" s="11" t="s">
        <v>85</v>
      </c>
      <c r="AC74" s="12" t="s">
        <v>120</v>
      </c>
    </row>
    <row r="75" spans="1:29">
      <c r="A75" s="13" t="s">
        <v>13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4" t="e">
        <f t="shared" ref="M75:M88" si="12">(B75*1+C75*2+D75*3+E75*4+F75*5+G75*6+H75*7+I75*8+J75*9+K75*10)/L75</f>
        <v>#DIV/0!</v>
      </c>
      <c r="Q75" s="13" t="s">
        <v>13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4" t="e">
        <f t="shared" ref="AC75:AC88" si="13">(R75*1+S75*2+T75*3+U75*4+V75*5+W75*6+X75*7+Y75*8+Z75*9+AA75*10)/AB75</f>
        <v>#DIV/0!</v>
      </c>
    </row>
    <row r="76" spans="1:29">
      <c r="A76" s="13" t="s">
        <v>8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4" t="e">
        <f t="shared" si="12"/>
        <v>#DIV/0!</v>
      </c>
      <c r="Q76" s="13" t="s">
        <v>8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4" t="e">
        <f t="shared" si="13"/>
        <v>#DIV/0!</v>
      </c>
    </row>
    <row r="77" spans="1:29">
      <c r="A77" s="13" t="s">
        <v>2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4" t="e">
        <f t="shared" si="12"/>
        <v>#DIV/0!</v>
      </c>
      <c r="Q77" s="13" t="s">
        <v>2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4" t="e">
        <f t="shared" si="13"/>
        <v>#DIV/0!</v>
      </c>
    </row>
    <row r="78" spans="1:29">
      <c r="A78" s="13" t="s">
        <v>5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4" t="e">
        <f t="shared" si="12"/>
        <v>#DIV/0!</v>
      </c>
      <c r="Q78" s="13" t="s">
        <v>5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4" t="e">
        <f t="shared" si="13"/>
        <v>#DIV/0!</v>
      </c>
    </row>
    <row r="79" spans="1:29">
      <c r="A79" s="13" t="s">
        <v>14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4" t="e">
        <f t="shared" si="12"/>
        <v>#DIV/0!</v>
      </c>
      <c r="Q79" s="13" t="s">
        <v>14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4" t="e">
        <f t="shared" si="13"/>
        <v>#DIV/0!</v>
      </c>
    </row>
    <row r="80" spans="1:29">
      <c r="A80" s="13" t="s">
        <v>3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4" t="e">
        <f t="shared" si="12"/>
        <v>#DIV/0!</v>
      </c>
      <c r="Q80" s="13" t="s">
        <v>3</v>
      </c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4" t="e">
        <f t="shared" si="13"/>
        <v>#DIV/0!</v>
      </c>
    </row>
    <row r="81" spans="1:29">
      <c r="A81" s="13" t="s">
        <v>4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4" t="e">
        <f t="shared" si="12"/>
        <v>#DIV/0!</v>
      </c>
      <c r="Q81" s="13" t="s">
        <v>4</v>
      </c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4" t="e">
        <f t="shared" si="13"/>
        <v>#DIV/0!</v>
      </c>
    </row>
    <row r="82" spans="1:29">
      <c r="A82" s="13" t="s">
        <v>10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4" t="e">
        <f t="shared" si="12"/>
        <v>#DIV/0!</v>
      </c>
      <c r="Q82" s="13" t="s">
        <v>10</v>
      </c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4" t="e">
        <f t="shared" si="13"/>
        <v>#DIV/0!</v>
      </c>
    </row>
    <row r="83" spans="1:29">
      <c r="A83" s="13" t="s">
        <v>9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4" t="e">
        <f t="shared" si="12"/>
        <v>#DIV/0!</v>
      </c>
      <c r="Q83" s="13" t="s">
        <v>9</v>
      </c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4" t="e">
        <f t="shared" si="13"/>
        <v>#DIV/0!</v>
      </c>
    </row>
    <row r="84" spans="1:29">
      <c r="A84" s="13" t="s">
        <v>7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4" t="e">
        <f t="shared" si="12"/>
        <v>#DIV/0!</v>
      </c>
      <c r="Q84" s="13" t="s">
        <v>7</v>
      </c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4" t="e">
        <f t="shared" si="13"/>
        <v>#DIV/0!</v>
      </c>
    </row>
    <row r="85" spans="1:29">
      <c r="A85" s="13" t="s">
        <v>11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4" t="e">
        <f t="shared" si="12"/>
        <v>#DIV/0!</v>
      </c>
      <c r="Q85" s="13" t="s">
        <v>11</v>
      </c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4" t="e">
        <f t="shared" si="13"/>
        <v>#DIV/0!</v>
      </c>
    </row>
    <row r="86" spans="1:29">
      <c r="A86" s="13" t="s">
        <v>12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4" t="e">
        <f t="shared" si="12"/>
        <v>#DIV/0!</v>
      </c>
      <c r="Q86" s="13" t="s">
        <v>12</v>
      </c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4" t="e">
        <f t="shared" si="13"/>
        <v>#DIV/0!</v>
      </c>
    </row>
    <row r="87" spans="1:29">
      <c r="A87" s="13" t="s">
        <v>6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4" t="e">
        <f t="shared" si="12"/>
        <v>#DIV/0!</v>
      </c>
      <c r="Q87" s="13" t="s">
        <v>6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4" t="e">
        <f t="shared" si="13"/>
        <v>#DIV/0!</v>
      </c>
    </row>
    <row r="88" spans="1:29">
      <c r="A88" s="13" t="s">
        <v>125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4" t="e">
        <f t="shared" si="12"/>
        <v>#DIV/0!</v>
      </c>
      <c r="Q88" s="13" t="s">
        <v>125</v>
      </c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4" t="e">
        <f t="shared" si="13"/>
        <v>#DIV/0!</v>
      </c>
    </row>
    <row r="91" spans="1:29">
      <c r="A91" s="10" t="s">
        <v>138</v>
      </c>
      <c r="Q91" s="10" t="s">
        <v>139</v>
      </c>
    </row>
    <row r="92" spans="1:29">
      <c r="A92" s="11" t="s">
        <v>79</v>
      </c>
      <c r="B92" s="11" t="s">
        <v>174</v>
      </c>
      <c r="C92" s="11" t="s">
        <v>175</v>
      </c>
      <c r="D92" s="11" t="s">
        <v>176</v>
      </c>
      <c r="E92" s="11" t="s">
        <v>177</v>
      </c>
      <c r="F92" s="11" t="s">
        <v>178</v>
      </c>
      <c r="G92" s="11" t="s">
        <v>179</v>
      </c>
      <c r="H92" s="11" t="s">
        <v>180</v>
      </c>
      <c r="I92" s="11" t="s">
        <v>181</v>
      </c>
      <c r="J92" s="11" t="s">
        <v>182</v>
      </c>
      <c r="K92" s="11" t="s">
        <v>183</v>
      </c>
      <c r="L92" s="11" t="s">
        <v>85</v>
      </c>
      <c r="M92" s="12" t="s">
        <v>120</v>
      </c>
      <c r="Q92" s="11" t="s">
        <v>79</v>
      </c>
      <c r="R92" s="11" t="s">
        <v>174</v>
      </c>
      <c r="S92" s="11" t="s">
        <v>175</v>
      </c>
      <c r="T92" s="11" t="s">
        <v>176</v>
      </c>
      <c r="U92" s="11" t="s">
        <v>177</v>
      </c>
      <c r="V92" s="11" t="s">
        <v>178</v>
      </c>
      <c r="W92" s="11" t="s">
        <v>179</v>
      </c>
      <c r="X92" s="11" t="s">
        <v>180</v>
      </c>
      <c r="Y92" s="11" t="s">
        <v>181</v>
      </c>
      <c r="Z92" s="11" t="s">
        <v>182</v>
      </c>
      <c r="AA92" s="11" t="s">
        <v>183</v>
      </c>
      <c r="AB92" s="11" t="s">
        <v>85</v>
      </c>
      <c r="AC92" s="12" t="s">
        <v>120</v>
      </c>
    </row>
    <row r="93" spans="1:29">
      <c r="A93" s="13" t="s">
        <v>13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4" t="e">
        <f t="shared" ref="M93:M106" si="14">(B93*1+C93*2+D93*3+E93*4+F93*5+G93*6+H93*7+I93*8+J93*9+K93*10)/L93</f>
        <v>#DIV/0!</v>
      </c>
      <c r="Q93" s="13" t="s">
        <v>13</v>
      </c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4" t="e">
        <f t="shared" ref="AC93:AC106" si="15">(R93*1+S93*2+T93*3+U93*4+V93*5+W93*6+X93*7+Y93*8+Z93*9+AA93*10)/AB93</f>
        <v>#DIV/0!</v>
      </c>
    </row>
    <row r="94" spans="1:29">
      <c r="A94" s="13" t="s">
        <v>8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4" t="e">
        <f t="shared" si="14"/>
        <v>#DIV/0!</v>
      </c>
      <c r="Q94" s="13" t="s">
        <v>8</v>
      </c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4" t="e">
        <f t="shared" si="15"/>
        <v>#DIV/0!</v>
      </c>
    </row>
    <row r="95" spans="1:29">
      <c r="A95" s="13" t="s">
        <v>2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4" t="e">
        <f t="shared" si="14"/>
        <v>#DIV/0!</v>
      </c>
      <c r="Q95" s="13" t="s">
        <v>2</v>
      </c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4" t="e">
        <f t="shared" si="15"/>
        <v>#DIV/0!</v>
      </c>
    </row>
    <row r="96" spans="1:29">
      <c r="A96" s="13" t="s">
        <v>5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4" t="e">
        <f t="shared" si="14"/>
        <v>#DIV/0!</v>
      </c>
      <c r="Q96" s="13" t="s">
        <v>5</v>
      </c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4" t="e">
        <f t="shared" si="15"/>
        <v>#DIV/0!</v>
      </c>
    </row>
    <row r="97" spans="1:29">
      <c r="A97" s="13" t="s">
        <v>14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4" t="e">
        <f t="shared" si="14"/>
        <v>#DIV/0!</v>
      </c>
      <c r="Q97" s="13" t="s">
        <v>14</v>
      </c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4" t="e">
        <f t="shared" si="15"/>
        <v>#DIV/0!</v>
      </c>
    </row>
    <row r="98" spans="1:29">
      <c r="A98" s="13" t="s">
        <v>3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4" t="e">
        <f t="shared" si="14"/>
        <v>#DIV/0!</v>
      </c>
      <c r="Q98" s="13" t="s">
        <v>3</v>
      </c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4" t="e">
        <f t="shared" si="15"/>
        <v>#DIV/0!</v>
      </c>
    </row>
    <row r="99" spans="1:29">
      <c r="A99" s="13" t="s">
        <v>4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4" t="e">
        <f t="shared" si="14"/>
        <v>#DIV/0!</v>
      </c>
      <c r="Q99" s="13" t="s">
        <v>4</v>
      </c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4" t="e">
        <f t="shared" si="15"/>
        <v>#DIV/0!</v>
      </c>
    </row>
    <row r="100" spans="1:29">
      <c r="A100" s="13" t="s">
        <v>10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4" t="e">
        <f t="shared" si="14"/>
        <v>#DIV/0!</v>
      </c>
      <c r="Q100" s="13" t="s">
        <v>10</v>
      </c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4" t="e">
        <f t="shared" si="15"/>
        <v>#DIV/0!</v>
      </c>
    </row>
    <row r="101" spans="1:29">
      <c r="A101" s="13" t="s">
        <v>9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4" t="e">
        <f t="shared" si="14"/>
        <v>#DIV/0!</v>
      </c>
      <c r="Q101" s="13" t="s">
        <v>9</v>
      </c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4" t="e">
        <f t="shared" si="15"/>
        <v>#DIV/0!</v>
      </c>
    </row>
    <row r="102" spans="1:29">
      <c r="A102" s="13" t="s">
        <v>7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4" t="e">
        <f t="shared" si="14"/>
        <v>#DIV/0!</v>
      </c>
      <c r="Q102" s="13" t="s">
        <v>7</v>
      </c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4" t="e">
        <f t="shared" si="15"/>
        <v>#DIV/0!</v>
      </c>
    </row>
    <row r="103" spans="1:29">
      <c r="A103" s="13" t="s">
        <v>11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4" t="e">
        <f t="shared" si="14"/>
        <v>#DIV/0!</v>
      </c>
      <c r="Q103" s="13" t="s">
        <v>11</v>
      </c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4" t="e">
        <f t="shared" si="15"/>
        <v>#DIV/0!</v>
      </c>
    </row>
    <row r="104" spans="1:29">
      <c r="A104" s="13" t="s">
        <v>12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4" t="e">
        <f t="shared" si="14"/>
        <v>#DIV/0!</v>
      </c>
      <c r="Q104" s="13" t="s">
        <v>12</v>
      </c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4" t="e">
        <f t="shared" si="15"/>
        <v>#DIV/0!</v>
      </c>
    </row>
    <row r="105" spans="1:29">
      <c r="A105" s="13" t="s">
        <v>6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4" t="e">
        <f t="shared" si="14"/>
        <v>#DIV/0!</v>
      </c>
      <c r="Q105" s="13" t="s">
        <v>6</v>
      </c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4" t="e">
        <f t="shared" si="15"/>
        <v>#DIV/0!</v>
      </c>
    </row>
    <row r="106" spans="1:29">
      <c r="A106" s="13" t="s">
        <v>125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4" t="e">
        <f t="shared" si="14"/>
        <v>#DIV/0!</v>
      </c>
      <c r="Q106" s="13" t="s">
        <v>125</v>
      </c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4" t="e">
        <f t="shared" si="15"/>
        <v>#DIV/0!</v>
      </c>
    </row>
    <row r="109" spans="1:29">
      <c r="A109" s="10" t="s">
        <v>125</v>
      </c>
    </row>
    <row r="110" spans="1:29">
      <c r="A110" s="11" t="s">
        <v>79</v>
      </c>
      <c r="B110" s="11" t="s">
        <v>174</v>
      </c>
      <c r="C110" s="11" t="s">
        <v>175</v>
      </c>
      <c r="D110" s="11" t="s">
        <v>176</v>
      </c>
      <c r="E110" s="11" t="s">
        <v>177</v>
      </c>
      <c r="F110" s="11" t="s">
        <v>178</v>
      </c>
      <c r="G110" s="11" t="s">
        <v>179</v>
      </c>
      <c r="H110" s="11" t="s">
        <v>180</v>
      </c>
      <c r="I110" s="11" t="s">
        <v>181</v>
      </c>
      <c r="J110" s="11" t="s">
        <v>182</v>
      </c>
      <c r="K110" s="11" t="s">
        <v>183</v>
      </c>
      <c r="L110" s="11" t="s">
        <v>85</v>
      </c>
      <c r="M110" s="12" t="s">
        <v>120</v>
      </c>
    </row>
    <row r="111" spans="1:29">
      <c r="A111" s="13" t="s">
        <v>13</v>
      </c>
      <c r="B111" s="13">
        <f>B3+R3+B21+R21+B39+R39+B57+R57+B75+R75+B93+R93</f>
        <v>82</v>
      </c>
      <c r="C111" s="13">
        <f t="shared" ref="C111:K111" si="16">C3+S3+C21+S21+C39+S39+C57+S57+C75+S75+C93+S93</f>
        <v>8</v>
      </c>
      <c r="D111" s="13">
        <f t="shared" si="16"/>
        <v>3</v>
      </c>
      <c r="E111" s="13">
        <f t="shared" si="16"/>
        <v>2</v>
      </c>
      <c r="F111" s="13">
        <f t="shared" si="16"/>
        <v>31</v>
      </c>
      <c r="G111" s="13">
        <f t="shared" si="16"/>
        <v>7</v>
      </c>
      <c r="H111" s="13">
        <f t="shared" si="16"/>
        <v>7</v>
      </c>
      <c r="I111" s="13">
        <f t="shared" si="16"/>
        <v>20</v>
      </c>
      <c r="J111" s="13">
        <f t="shared" si="16"/>
        <v>14</v>
      </c>
      <c r="K111" s="13">
        <f t="shared" si="16"/>
        <v>75</v>
      </c>
      <c r="L111" s="13">
        <f>SUM(B111:K111)</f>
        <v>249</v>
      </c>
      <c r="M111" s="14">
        <f t="shared" ref="M111:M124" si="17">(B111*1+C111*2+D111*3+E111*4+F111*5+G111*6+H111*7+I111*8+J111*9+K111*10)/L111</f>
        <v>5.61044176706827</v>
      </c>
    </row>
    <row r="112" spans="1:29">
      <c r="A112" s="13" t="s">
        <v>8</v>
      </c>
      <c r="B112" s="13">
        <f t="shared" ref="B112:B124" si="18">B4+R4+B22+R22+B40+R40+B58+R58+B76+R76+B94+R94</f>
        <v>168</v>
      </c>
      <c r="C112" s="13">
        <f t="shared" ref="C112:K112" si="19">C4+S4+C22+S22+C40+S40+C58+S58+C76+S76+C94+S94</f>
        <v>3</v>
      </c>
      <c r="D112" s="13">
        <f t="shared" si="19"/>
        <v>7</v>
      </c>
      <c r="E112" s="13">
        <f t="shared" si="19"/>
        <v>1</v>
      </c>
      <c r="F112" s="13">
        <f t="shared" si="19"/>
        <v>32</v>
      </c>
      <c r="G112" s="13">
        <f t="shared" si="19"/>
        <v>20</v>
      </c>
      <c r="H112" s="13">
        <f t="shared" si="19"/>
        <v>16</v>
      </c>
      <c r="I112" s="13">
        <f t="shared" si="19"/>
        <v>35</v>
      </c>
      <c r="J112" s="13">
        <f t="shared" si="19"/>
        <v>11</v>
      </c>
      <c r="K112" s="13">
        <f t="shared" si="19"/>
        <v>112</v>
      </c>
      <c r="L112" s="13">
        <f t="shared" ref="L112:L124" si="20">SUM(B112:K112)</f>
        <v>405</v>
      </c>
      <c r="M112" s="14">
        <f t="shared" si="17"/>
        <v>5.16049382716049</v>
      </c>
    </row>
    <row r="113" spans="1:13">
      <c r="A113" s="13" t="s">
        <v>2</v>
      </c>
      <c r="B113" s="13">
        <f t="shared" si="18"/>
        <v>83</v>
      </c>
      <c r="C113" s="13">
        <f t="shared" ref="C113:K113" si="21">C5+S5+C23+S23+C41+S41+C59+S59+C77+S77+C95+S95</f>
        <v>1</v>
      </c>
      <c r="D113" s="13">
        <f t="shared" si="21"/>
        <v>19</v>
      </c>
      <c r="E113" s="13">
        <f t="shared" si="21"/>
        <v>1</v>
      </c>
      <c r="F113" s="13">
        <f t="shared" si="21"/>
        <v>14</v>
      </c>
      <c r="G113" s="13">
        <f t="shared" si="21"/>
        <v>8</v>
      </c>
      <c r="H113" s="13">
        <f t="shared" si="21"/>
        <v>11</v>
      </c>
      <c r="I113" s="13">
        <f t="shared" si="21"/>
        <v>29</v>
      </c>
      <c r="J113" s="13">
        <f t="shared" si="21"/>
        <v>19</v>
      </c>
      <c r="K113" s="13">
        <f t="shared" si="21"/>
        <v>96</v>
      </c>
      <c r="L113" s="13">
        <f t="shared" si="20"/>
        <v>281</v>
      </c>
      <c r="M113" s="14">
        <f t="shared" si="17"/>
        <v>6.06405693950178</v>
      </c>
    </row>
    <row r="114" spans="1:13">
      <c r="A114" s="13" t="s">
        <v>5</v>
      </c>
      <c r="B114" s="13">
        <f t="shared" si="18"/>
        <v>198</v>
      </c>
      <c r="C114" s="13">
        <f t="shared" ref="C114:K114" si="22">C6+S6+C24+S24+C42+S42+C60+S60+C78+S78+C96+S96</f>
        <v>5</v>
      </c>
      <c r="D114" s="13">
        <f t="shared" si="22"/>
        <v>7</v>
      </c>
      <c r="E114" s="13">
        <f t="shared" si="22"/>
        <v>4</v>
      </c>
      <c r="F114" s="13">
        <f t="shared" si="22"/>
        <v>29</v>
      </c>
      <c r="G114" s="13">
        <f t="shared" si="22"/>
        <v>20</v>
      </c>
      <c r="H114" s="13">
        <f t="shared" si="22"/>
        <v>17</v>
      </c>
      <c r="I114" s="13">
        <f t="shared" si="22"/>
        <v>45</v>
      </c>
      <c r="J114" s="13">
        <f t="shared" si="22"/>
        <v>24</v>
      </c>
      <c r="K114" s="13">
        <f t="shared" si="22"/>
        <v>120</v>
      </c>
      <c r="L114" s="13">
        <f t="shared" si="20"/>
        <v>469</v>
      </c>
      <c r="M114" s="14">
        <f t="shared" si="17"/>
        <v>5.12793176972281</v>
      </c>
    </row>
    <row r="115" spans="1:13">
      <c r="A115" s="13" t="s">
        <v>14</v>
      </c>
      <c r="B115" s="13">
        <f t="shared" si="18"/>
        <v>47</v>
      </c>
      <c r="C115" s="13">
        <f t="shared" ref="C115:K115" si="23">C7+S7+C25+S25+C43+S43+C61+S61+C79+S79+C97+S97</f>
        <v>0</v>
      </c>
      <c r="D115" s="13">
        <f t="shared" si="23"/>
        <v>0</v>
      </c>
      <c r="E115" s="13">
        <f t="shared" si="23"/>
        <v>0</v>
      </c>
      <c r="F115" s="13">
        <f t="shared" si="23"/>
        <v>11</v>
      </c>
      <c r="G115" s="13">
        <f t="shared" si="23"/>
        <v>1</v>
      </c>
      <c r="H115" s="13">
        <f t="shared" si="23"/>
        <v>1</v>
      </c>
      <c r="I115" s="13">
        <f t="shared" si="23"/>
        <v>4</v>
      </c>
      <c r="J115" s="13">
        <f t="shared" si="23"/>
        <v>4</v>
      </c>
      <c r="K115" s="13">
        <f t="shared" si="23"/>
        <v>25</v>
      </c>
      <c r="L115" s="13">
        <f t="shared" si="20"/>
        <v>93</v>
      </c>
      <c r="M115" s="14">
        <f t="shared" si="17"/>
        <v>4.65591397849462</v>
      </c>
    </row>
    <row r="116" spans="1:13">
      <c r="A116" s="13" t="s">
        <v>3</v>
      </c>
      <c r="B116" s="13">
        <f t="shared" si="18"/>
        <v>64</v>
      </c>
      <c r="C116" s="13">
        <f t="shared" ref="C116:K116" si="24">C8+S8+C26+S26+C44+S44+C62+S62+C80+S80+C98+S98</f>
        <v>1</v>
      </c>
      <c r="D116" s="13">
        <f t="shared" si="24"/>
        <v>3</v>
      </c>
      <c r="E116" s="13">
        <f t="shared" si="24"/>
        <v>1</v>
      </c>
      <c r="F116" s="13">
        <f t="shared" si="24"/>
        <v>14</v>
      </c>
      <c r="G116" s="13">
        <f t="shared" si="24"/>
        <v>12</v>
      </c>
      <c r="H116" s="13">
        <f t="shared" si="24"/>
        <v>12</v>
      </c>
      <c r="I116" s="13">
        <f t="shared" si="24"/>
        <v>48</v>
      </c>
      <c r="J116" s="13">
        <f t="shared" si="24"/>
        <v>30</v>
      </c>
      <c r="K116" s="13">
        <f t="shared" si="24"/>
        <v>169</v>
      </c>
      <c r="L116" s="13">
        <f t="shared" si="20"/>
        <v>354</v>
      </c>
      <c r="M116" s="14">
        <f t="shared" si="17"/>
        <v>7.48305084745763</v>
      </c>
    </row>
    <row r="117" spans="1:13">
      <c r="A117" s="13" t="s">
        <v>4</v>
      </c>
      <c r="B117" s="13">
        <f t="shared" si="18"/>
        <v>45</v>
      </c>
      <c r="C117" s="13">
        <f t="shared" ref="C117:K117" si="25">C9+S9+C27+S27+C45+S45+C63+S63+C81+S81+C99+S99</f>
        <v>3</v>
      </c>
      <c r="D117" s="13">
        <f t="shared" si="25"/>
        <v>8</v>
      </c>
      <c r="E117" s="13">
        <f t="shared" si="25"/>
        <v>1</v>
      </c>
      <c r="F117" s="13">
        <f t="shared" si="25"/>
        <v>13</v>
      </c>
      <c r="G117" s="13">
        <f t="shared" si="25"/>
        <v>17</v>
      </c>
      <c r="H117" s="13">
        <f t="shared" si="25"/>
        <v>10</v>
      </c>
      <c r="I117" s="13">
        <f t="shared" si="25"/>
        <v>44</v>
      </c>
      <c r="J117" s="13">
        <f t="shared" si="25"/>
        <v>29</v>
      </c>
      <c r="K117" s="13">
        <f t="shared" si="25"/>
        <v>139</v>
      </c>
      <c r="L117" s="13">
        <f t="shared" si="20"/>
        <v>309</v>
      </c>
      <c r="M117" s="14">
        <f t="shared" si="17"/>
        <v>7.50485436893204</v>
      </c>
    </row>
    <row r="118" spans="1:13">
      <c r="A118" s="13" t="s">
        <v>10</v>
      </c>
      <c r="B118" s="13">
        <f t="shared" si="18"/>
        <v>180</v>
      </c>
      <c r="C118" s="13">
        <f t="shared" ref="C118:K118" si="26">C10+S10+C28+S28+C46+S46+C64+S64+C82+S82+C100+S100</f>
        <v>7</v>
      </c>
      <c r="D118" s="13">
        <f t="shared" si="26"/>
        <v>11</v>
      </c>
      <c r="E118" s="13">
        <f t="shared" si="26"/>
        <v>6</v>
      </c>
      <c r="F118" s="13">
        <f t="shared" si="26"/>
        <v>26</v>
      </c>
      <c r="G118" s="13">
        <f t="shared" si="26"/>
        <v>18</v>
      </c>
      <c r="H118" s="13">
        <f t="shared" si="26"/>
        <v>13</v>
      </c>
      <c r="I118" s="13">
        <f t="shared" si="26"/>
        <v>28</v>
      </c>
      <c r="J118" s="13">
        <f t="shared" si="26"/>
        <v>21</v>
      </c>
      <c r="K118" s="13">
        <f t="shared" si="26"/>
        <v>134</v>
      </c>
      <c r="L118" s="13">
        <f t="shared" si="20"/>
        <v>444</v>
      </c>
      <c r="M118" s="14">
        <f t="shared" si="17"/>
        <v>5.2545045045045</v>
      </c>
    </row>
    <row r="119" spans="1:13">
      <c r="A119" s="13" t="s">
        <v>9</v>
      </c>
      <c r="B119" s="13">
        <f t="shared" si="18"/>
        <v>237</v>
      </c>
      <c r="C119" s="13">
        <f t="shared" ref="C119:K119" si="27">C11+S11+C29+S29+C47+S47+C65+S65+C83+S83+C101+S101</f>
        <v>8</v>
      </c>
      <c r="D119" s="13">
        <f t="shared" si="27"/>
        <v>10</v>
      </c>
      <c r="E119" s="13">
        <f t="shared" si="27"/>
        <v>0</v>
      </c>
      <c r="F119" s="13">
        <f t="shared" si="27"/>
        <v>27</v>
      </c>
      <c r="G119" s="13">
        <f t="shared" si="27"/>
        <v>4</v>
      </c>
      <c r="H119" s="13">
        <f t="shared" si="27"/>
        <v>14</v>
      </c>
      <c r="I119" s="13">
        <f t="shared" si="27"/>
        <v>18</v>
      </c>
      <c r="J119" s="13">
        <f t="shared" si="27"/>
        <v>11</v>
      </c>
      <c r="K119" s="13">
        <f t="shared" si="27"/>
        <v>49</v>
      </c>
      <c r="L119" s="13">
        <f t="shared" si="20"/>
        <v>378</v>
      </c>
      <c r="M119" s="14">
        <f t="shared" si="17"/>
        <v>3.36772486772487</v>
      </c>
    </row>
    <row r="120" spans="1:13">
      <c r="A120" s="13" t="s">
        <v>7</v>
      </c>
      <c r="B120" s="13">
        <f t="shared" si="18"/>
        <v>26</v>
      </c>
      <c r="C120" s="13">
        <f t="shared" ref="C120:K120" si="28">C12+S12+C30+S30+C48+S48+C66+S66+C84+S84+C102+S102</f>
        <v>0</v>
      </c>
      <c r="D120" s="13">
        <f t="shared" si="28"/>
        <v>2</v>
      </c>
      <c r="E120" s="13">
        <f t="shared" si="28"/>
        <v>1</v>
      </c>
      <c r="F120" s="13">
        <f t="shared" si="28"/>
        <v>6</v>
      </c>
      <c r="G120" s="13">
        <f t="shared" si="28"/>
        <v>5</v>
      </c>
      <c r="H120" s="13">
        <f t="shared" si="28"/>
        <v>3</v>
      </c>
      <c r="I120" s="13">
        <f t="shared" si="28"/>
        <v>11</v>
      </c>
      <c r="J120" s="13">
        <f t="shared" si="28"/>
        <v>6</v>
      </c>
      <c r="K120" s="13">
        <f t="shared" si="28"/>
        <v>34</v>
      </c>
      <c r="L120" s="13">
        <f t="shared" si="20"/>
        <v>94</v>
      </c>
      <c r="M120" s="14">
        <f t="shared" si="17"/>
        <v>6.37234042553191</v>
      </c>
    </row>
    <row r="121" spans="1:13">
      <c r="A121" s="13" t="s">
        <v>11</v>
      </c>
      <c r="B121" s="13">
        <f t="shared" si="18"/>
        <v>208</v>
      </c>
      <c r="C121" s="13">
        <f t="shared" ref="C121:K121" si="29">C13+S13+C31+S31+C49+S49+C67+S67+C85+S85+C103+S103</f>
        <v>6</v>
      </c>
      <c r="D121" s="13">
        <f t="shared" si="29"/>
        <v>10</v>
      </c>
      <c r="E121" s="13">
        <f t="shared" si="29"/>
        <v>2</v>
      </c>
      <c r="F121" s="13">
        <f t="shared" si="29"/>
        <v>60</v>
      </c>
      <c r="G121" s="13">
        <f t="shared" si="29"/>
        <v>17</v>
      </c>
      <c r="H121" s="13">
        <f t="shared" si="29"/>
        <v>31</v>
      </c>
      <c r="I121" s="13">
        <f t="shared" si="29"/>
        <v>55</v>
      </c>
      <c r="J121" s="13">
        <f t="shared" si="29"/>
        <v>24</v>
      </c>
      <c r="K121" s="13">
        <f t="shared" si="29"/>
        <v>194</v>
      </c>
      <c r="L121" s="13">
        <f t="shared" si="20"/>
        <v>607</v>
      </c>
      <c r="M121" s="14">
        <f t="shared" si="17"/>
        <v>5.72158154859967</v>
      </c>
    </row>
    <row r="122" spans="1:13">
      <c r="A122" s="13" t="s">
        <v>12</v>
      </c>
      <c r="B122" s="13">
        <f t="shared" si="18"/>
        <v>68</v>
      </c>
      <c r="C122" s="13">
        <f t="shared" ref="C122:K122" si="30">C14+S14+C32+S32+C50+S50+C68+S68+C86+S86+C104+S104</f>
        <v>2</v>
      </c>
      <c r="D122" s="13">
        <f t="shared" si="30"/>
        <v>0</v>
      </c>
      <c r="E122" s="13">
        <f t="shared" si="30"/>
        <v>0</v>
      </c>
      <c r="F122" s="13">
        <f t="shared" si="30"/>
        <v>9</v>
      </c>
      <c r="G122" s="13">
        <f t="shared" si="30"/>
        <v>2</v>
      </c>
      <c r="H122" s="13">
        <f t="shared" si="30"/>
        <v>3</v>
      </c>
      <c r="I122" s="13">
        <f t="shared" si="30"/>
        <v>9</v>
      </c>
      <c r="J122" s="13">
        <f t="shared" si="30"/>
        <v>3</v>
      </c>
      <c r="K122" s="13">
        <f t="shared" si="30"/>
        <v>13</v>
      </c>
      <c r="L122" s="13">
        <f t="shared" si="20"/>
        <v>109</v>
      </c>
      <c r="M122" s="14">
        <f t="shared" si="17"/>
        <v>3.47706422018349</v>
      </c>
    </row>
    <row r="123" spans="1:13">
      <c r="A123" s="13" t="s">
        <v>6</v>
      </c>
      <c r="B123" s="13">
        <f t="shared" si="18"/>
        <v>112</v>
      </c>
      <c r="C123" s="13">
        <f t="shared" ref="C123:K123" si="31">C15+S15+C33+S33+C51+S51+C69+S69+C87+S87+C105+S105</f>
        <v>1</v>
      </c>
      <c r="D123" s="13">
        <f t="shared" si="31"/>
        <v>8</v>
      </c>
      <c r="E123" s="13">
        <f t="shared" si="31"/>
        <v>3</v>
      </c>
      <c r="F123" s="13">
        <f t="shared" si="31"/>
        <v>24</v>
      </c>
      <c r="G123" s="13">
        <f t="shared" si="31"/>
        <v>10</v>
      </c>
      <c r="H123" s="13">
        <f t="shared" si="31"/>
        <v>12</v>
      </c>
      <c r="I123" s="13">
        <f t="shared" si="31"/>
        <v>33</v>
      </c>
      <c r="J123" s="13">
        <f t="shared" si="31"/>
        <v>21</v>
      </c>
      <c r="K123" s="13">
        <f t="shared" si="31"/>
        <v>91</v>
      </c>
      <c r="L123" s="13">
        <f t="shared" si="20"/>
        <v>315</v>
      </c>
      <c r="M123" s="14">
        <f t="shared" si="17"/>
        <v>5.64126984126984</v>
      </c>
    </row>
    <row r="124" spans="1:13">
      <c r="A124" s="13" t="s">
        <v>125</v>
      </c>
      <c r="B124" s="13">
        <f>SUM(B111:B123)</f>
        <v>1518</v>
      </c>
      <c r="C124" s="13">
        <f t="shared" ref="C124:L124" si="32">SUM(C111:C123)</f>
        <v>45</v>
      </c>
      <c r="D124" s="13">
        <f t="shared" si="32"/>
        <v>88</v>
      </c>
      <c r="E124" s="13">
        <f t="shared" si="32"/>
        <v>22</v>
      </c>
      <c r="F124" s="13">
        <f t="shared" si="32"/>
        <v>296</v>
      </c>
      <c r="G124" s="13">
        <f t="shared" si="32"/>
        <v>141</v>
      </c>
      <c r="H124" s="13">
        <f t="shared" si="32"/>
        <v>150</v>
      </c>
      <c r="I124" s="13">
        <f t="shared" si="32"/>
        <v>379</v>
      </c>
      <c r="J124" s="13">
        <f t="shared" si="32"/>
        <v>217</v>
      </c>
      <c r="K124" s="13">
        <f t="shared" si="32"/>
        <v>1251</v>
      </c>
      <c r="L124" s="13">
        <f t="shared" si="32"/>
        <v>4107</v>
      </c>
      <c r="M124" s="14">
        <f t="shared" si="17"/>
        <v>5.55904553201851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A3:O18"/>
  <sheetViews>
    <sheetView workbookViewId="0">
      <selection activeCell="U26" sqref="U26"/>
    </sheetView>
  </sheetViews>
  <sheetFormatPr defaultColWidth="9" defaultRowHeight="14.25"/>
  <cols>
    <col min="11" max="11" width="9.5"/>
  </cols>
  <sheetData>
    <row r="3" ht="19" customHeight="1" spans="1:14">
      <c r="A3" s="1" t="s">
        <v>184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9" customHeight="1" spans="1:14">
      <c r="A4" s="2" t="s">
        <v>79</v>
      </c>
      <c r="B4" s="2" t="s">
        <v>128</v>
      </c>
      <c r="C4" s="2" t="s">
        <v>129</v>
      </c>
      <c r="D4" s="2" t="s">
        <v>130</v>
      </c>
      <c r="E4" s="2" t="s">
        <v>131</v>
      </c>
      <c r="F4" s="2" t="s">
        <v>132</v>
      </c>
      <c r="G4" s="2" t="s">
        <v>133</v>
      </c>
      <c r="H4" s="2" t="s">
        <v>134</v>
      </c>
      <c r="I4" s="3" t="s">
        <v>135</v>
      </c>
      <c r="J4" s="3" t="s">
        <v>136</v>
      </c>
      <c r="K4" s="3" t="s">
        <v>137</v>
      </c>
      <c r="L4" s="3" t="s">
        <v>138</v>
      </c>
      <c r="M4" s="3" t="s">
        <v>139</v>
      </c>
      <c r="N4" s="3" t="s">
        <v>125</v>
      </c>
    </row>
    <row r="5" ht="19" customHeight="1" spans="1:14">
      <c r="A5" s="4" t="s">
        <v>13</v>
      </c>
      <c r="B5" s="4"/>
      <c r="C5" s="4"/>
      <c r="D5" s="4"/>
      <c r="E5" s="4"/>
      <c r="F5" s="4"/>
      <c r="G5" s="4"/>
      <c r="H5" s="4"/>
      <c r="I5" s="5"/>
      <c r="J5" s="5"/>
      <c r="K5" s="5"/>
      <c r="L5" s="5"/>
      <c r="M5" s="5"/>
      <c r="N5" s="5"/>
    </row>
    <row r="6" ht="19" customHeight="1" spans="1:14">
      <c r="A6" s="5" t="s">
        <v>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19" customHeight="1" spans="1:14">
      <c r="A7" s="5" t="s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19" customHeight="1" spans="1:14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ht="19" customHeight="1" spans="1:14">
      <c r="A9" s="5" t="s">
        <v>14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ht="19" customHeight="1" spans="1:14">
      <c r="A10" s="5" t="s">
        <v>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ht="19" customHeight="1" spans="1:14">
      <c r="A11" s="5" t="s">
        <v>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ht="19" customHeight="1" spans="1:14">
      <c r="A12" s="5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ht="19" customHeight="1" spans="1:14">
      <c r="A13" s="5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ht="19" customHeight="1" spans="1:14">
      <c r="A14" s="5" t="s">
        <v>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ht="19" customHeight="1" spans="1:14">
      <c r="A15" s="5" t="s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ht="19" customHeight="1" spans="1:14">
      <c r="A16" s="5" t="s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ht="19" customHeight="1" spans="1:15">
      <c r="A17" s="5" t="s">
        <v>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ht="19" customHeight="1" spans="1:15">
      <c r="A18" s="6" t="s">
        <v>125</v>
      </c>
      <c r="B18" s="7">
        <f>SUM(B5:B17)</f>
        <v>0</v>
      </c>
      <c r="C18" s="7">
        <f t="shared" ref="C18:N18" si="0">SUM(C5:C17)</f>
        <v>0</v>
      </c>
      <c r="D18" s="7">
        <f t="shared" si="0"/>
        <v>0</v>
      </c>
      <c r="E18" s="7">
        <f t="shared" si="0"/>
        <v>0</v>
      </c>
      <c r="F18" s="7">
        <f t="shared" si="0"/>
        <v>0</v>
      </c>
      <c r="G18" s="7">
        <f t="shared" si="0"/>
        <v>0</v>
      </c>
      <c r="H18" s="7">
        <f t="shared" si="0"/>
        <v>0</v>
      </c>
      <c r="I18" s="7">
        <f t="shared" si="0"/>
        <v>0</v>
      </c>
      <c r="J18" s="7">
        <f t="shared" si="0"/>
        <v>0</v>
      </c>
      <c r="K18" s="7">
        <f t="shared" si="0"/>
        <v>0</v>
      </c>
      <c r="L18" s="7">
        <f t="shared" si="0"/>
        <v>0</v>
      </c>
      <c r="M18" s="7">
        <f t="shared" si="0"/>
        <v>0</v>
      </c>
      <c r="N18" s="7">
        <f t="shared" si="0"/>
        <v>0</v>
      </c>
      <c r="O18" s="8"/>
    </row>
  </sheetData>
  <mergeCells count="1">
    <mergeCell ref="A3:N3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<?xml version="1.0" encoding="utf-8"?>
<allowEditUser xmlns="https://web.wps.cn/et/2018/main" xmlns:s="http://schemas.openxmlformats.org/spreadsheetml/2006/main" hasInvisiblePropRange="0">
  <rangeList sheetStid="12" master="" otherUserPermission="visible"/>
  <rangeList sheetStid="22" master="" otherUserPermission="visible"/>
  <rangeList sheetStid="11" master="" otherUserPermission="visible"/>
  <rangeList sheetStid="33" master="" otherUserPermission="visible"/>
  <rangeList sheetStid="36" master="" otherUserPermission="visible"/>
  <rangeList sheetStid="13" master="" otherUserPermission="visible">
    <arrUserId title="区域1_4" rangeCreator="" othersAccessPermission="edit"/>
    <arrUserId title="区域1_3" rangeCreator="" othersAccessPermission="edit"/>
    <arrUserId title="区域1_6" rangeCreator="" othersAccessPermission="edit"/>
    <arrUserId title="区域1_6_3" rangeCreator="" othersAccessPermission="edit"/>
    <arrUserId title="区域1" rangeCreator="" othersAccessPermission="edit"/>
    <arrUserId title="区域1_3_1" rangeCreator="" othersAccessPermission="edit"/>
  </rangeList>
  <rangeList sheetStid="34" master="" otherUserPermission="visible"/>
  <rangeList sheetStid="24" master="" otherUserPermission="visible"/>
  <rangeList sheetStid="3" master="" otherUserPermission="visible"/>
  <rangeList sheetStid="20" master="" otherUserPermission="visible"/>
  <rangeList sheetStid="30" master="" otherUserPermission="visible"/>
  <rangeList sheetStid="32" master="" otherUserPermission="visible"/>
  <rangeList sheetStid="41" master="" otherUserPermission="visible"/>
  <rangeList sheetStid="39" master="" otherUserPermission="visible"/>
</allowEditUser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47630994-4C4E-42DB-B2EA-0F98547FE4EF}">
  <ds:schemaRefs/>
</ds:datastoreItem>
</file>

<file path=customXml/itemProps3.xml><?xml version="1.0" encoding="utf-8"?>
<ds:datastoreItem xmlns:ds="http://schemas.openxmlformats.org/officeDocument/2006/customXml" ds:itemID="{18FB4DDF-DC3B-479F-961E-D0E0898B7103}">
  <ds:schemaRefs/>
</ds:datastoreItem>
</file>

<file path=customXml/itemProps4.xml><?xml version="1.0" encoding="utf-8"?>
<ds:datastoreItem xmlns:ds="http://schemas.openxmlformats.org/officeDocument/2006/customXml" ds:itemID="{BFD6B5B8-D4CA-4A03-8866-860B92A0B9D9}">
  <ds:schemaRefs/>
</ds:datastoreItem>
</file>

<file path=customXml/itemProps5.xml><?xml version="1.0" encoding="utf-8"?>
<ds:datastoreItem xmlns:ds="http://schemas.openxmlformats.org/officeDocument/2006/customXml" ds:itemID="{E55E4000-9E20-46EC-9643-702FA4E2AB29}">
  <ds:schemaRefs/>
</ds:datastoreItem>
</file>

<file path=customXml/itemProps6.xml><?xml version="1.0" encoding="utf-8"?>
<ds:datastoreItem xmlns:ds="http://schemas.openxmlformats.org/officeDocument/2006/customXml" ds:itemID="{29EEBF5A-34D4-43F3-875F-B7818FB79D09}">
  <ds:schemaRefs/>
</ds:datastoreItem>
</file>

<file path=customXml/itemProps7.xml><?xml version="1.0" encoding="utf-8"?>
<ds:datastoreItem xmlns:ds="http://schemas.openxmlformats.org/officeDocument/2006/customXml" ds:itemID="{700B9453-7979-4E70-A4DB-C1D9B0EE93BC}">
  <ds:schemaRefs/>
</ds:datastoreItem>
</file>

<file path=customXml/itemProps8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</vt:lpstr>
      <vt:lpstr>26年考核标准</vt:lpstr>
      <vt:lpstr>收费率</vt:lpstr>
      <vt:lpstr>空间资源</vt:lpstr>
      <vt:lpstr>业主满意度</vt:lpstr>
      <vt:lpstr>投诉完成率</vt:lpstr>
      <vt:lpstr>设备设施管理</vt:lpstr>
      <vt:lpstr>自用能耗成本</vt:lpstr>
      <vt:lpstr>基础信息抽查</vt:lpstr>
      <vt:lpstr>400知晓率</vt:lpstr>
      <vt:lpstr>重大事项扣罚</vt:lpstr>
      <vt:lpstr>单项奖惩</vt:lpstr>
      <vt:lpstr>投诉评分</vt:lpstr>
      <vt:lpstr>入户维修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97487</cp:lastModifiedBy>
  <dcterms:created xsi:type="dcterms:W3CDTF">2015-06-05T18:19:00Z</dcterms:created>
  <dcterms:modified xsi:type="dcterms:W3CDTF">2026-06-26T02:45:54Z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KSOReadingLayout">
    <vt:bool>true</vt:bool>
  </property>
  <property fmtid="{D5CDD505-2E9C-101B-9397-08002B2CF9AE}" pid="4" name="ICV">
    <vt:lpwstr>CB21192C163A4FF0B242F837822E6F0E</vt:lpwstr>
  </property>
  <property fmtid="{D5CDD505-2E9C-101B-9397-08002B2CF9AE}" pid="5" name="CalculationRule">
    <vt:i4>0</vt:i4>
  </property>
</Properties>
</file>