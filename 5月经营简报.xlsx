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 firstSheet="2" activeTab="6"/>
  </bookViews>
  <sheets>
    <sheet name="空间资源" sheetId="18" r:id="rId1"/>
    <sheet name="新增及涨价" sheetId="20" state="hidden" r:id="rId2"/>
    <sheet name="整体" sheetId="17" r:id="rId3"/>
    <sheet name="当期-费项" sheetId="22" r:id="rId4"/>
    <sheet name="历欠-账龄" sheetId="21" r:id="rId5"/>
    <sheet name="筑科案场" sheetId="23" r:id="rId6"/>
    <sheet name="都会+望辰府多业权" sheetId="24" r:id="rId7"/>
    <sheet name="基础指标" sheetId="27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0" hidden="1">空间资源!$2:$20</definedName>
    <definedName name="_xlnm._FilterDatabase" localSheetId="2" hidden="1">整体!$5:$23</definedName>
    <definedName name="_xlnm._FilterDatabase" localSheetId="3" hidden="1">'当期-费项'!$A$27:$AH$43</definedName>
    <definedName name="_xlnm._FilterDatabase" localSheetId="4" hidden="1">'历欠-账龄'!$A$1:$AK$44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97487</author>
  </authors>
  <commentList>
    <comment ref="A28" authorId="0">
      <text>
        <r>
          <rPr>
            <b/>
            <sz val="9"/>
            <rFont val="宋体"/>
            <charset val="134"/>
          </rPr>
          <t>97487:</t>
        </r>
        <r>
          <rPr>
            <sz val="9"/>
            <rFont val="宋体"/>
            <charset val="134"/>
          </rPr>
          <t xml:space="preserve">
和谐佳苑已减免204万</t>
        </r>
      </text>
    </comment>
  </commentList>
</comments>
</file>

<file path=xl/comments2.xml><?xml version="1.0" encoding="utf-8"?>
<comments xmlns="http://schemas.openxmlformats.org/spreadsheetml/2006/main">
  <authors>
    <author>97487</author>
  </authors>
  <commentList>
    <comment ref="A28" authorId="0">
      <text>
        <r>
          <rPr>
            <b/>
            <sz val="9"/>
            <rFont val="宋体"/>
            <charset val="134"/>
          </rPr>
          <t>97487:</t>
        </r>
        <r>
          <rPr>
            <sz val="9"/>
            <rFont val="宋体"/>
            <charset val="134"/>
          </rPr>
          <t xml:space="preserve">
和谐佳苑已减免204万</t>
        </r>
      </text>
    </comment>
    <comment ref="AA28" authorId="0">
      <text>
        <r>
          <rPr>
            <b/>
            <sz val="9"/>
            <rFont val="宋体"/>
            <charset val="134"/>
          </rPr>
          <t>97487:</t>
        </r>
        <r>
          <rPr>
            <sz val="9"/>
            <rFont val="宋体"/>
            <charset val="134"/>
          </rPr>
          <t xml:space="preserve">
訾营客服中心政府补贴部分回款</t>
        </r>
      </text>
    </comment>
  </commentList>
</comments>
</file>

<file path=xl/comments3.xml><?xml version="1.0" encoding="utf-8"?>
<comments xmlns="http://schemas.openxmlformats.org/spreadsheetml/2006/main">
  <authors>
    <author>97487</author>
  </authors>
  <commentList>
    <comment ref="A9" authorId="0">
      <text>
        <r>
          <rPr>
            <b/>
            <sz val="9"/>
            <rFont val="宋体"/>
            <charset val="134"/>
          </rPr>
          <t>97487:</t>
        </r>
        <r>
          <rPr>
            <sz val="9"/>
            <rFont val="宋体"/>
            <charset val="134"/>
          </rPr>
          <t xml:space="preserve">
不含都会、望辰府</t>
        </r>
      </text>
    </comment>
    <comment ref="A19" authorId="0">
      <text>
        <r>
          <rPr>
            <b/>
            <sz val="9"/>
            <rFont val="宋体"/>
            <charset val="134"/>
          </rPr>
          <t>97487:</t>
        </r>
        <r>
          <rPr>
            <sz val="9"/>
            <rFont val="宋体"/>
            <charset val="134"/>
          </rPr>
          <t xml:space="preserve">
不含都会、望辰府</t>
        </r>
      </text>
    </comment>
  </commentList>
</comments>
</file>

<file path=xl/sharedStrings.xml><?xml version="1.0" encoding="utf-8"?>
<sst xmlns="http://schemas.openxmlformats.org/spreadsheetml/2006/main" count="590" uniqueCount="104">
  <si>
    <t>空间资源经营简报</t>
  </si>
  <si>
    <t>公司</t>
  </si>
  <si>
    <t>25年完成</t>
  </si>
  <si>
    <t>26年预算</t>
  </si>
  <si>
    <t>孰高指标</t>
  </si>
  <si>
    <t>已入账</t>
  </si>
  <si>
    <t>入账同比</t>
  </si>
  <si>
    <t>待入账</t>
  </si>
  <si>
    <t>待续签</t>
  </si>
  <si>
    <t>全年预估收入</t>
  </si>
  <si>
    <t>业绩缺口</t>
  </si>
  <si>
    <t>4月缺口</t>
  </si>
  <si>
    <t>较上月新增</t>
  </si>
  <si>
    <t>备注</t>
  </si>
  <si>
    <t>阜阳</t>
  </si>
  <si>
    <t>北城</t>
  </si>
  <si>
    <t>宁波</t>
  </si>
  <si>
    <t>滨湖</t>
  </si>
  <si>
    <t>1个广告合同提前退租，替换商家协商中</t>
  </si>
  <si>
    <t>长沙</t>
  </si>
  <si>
    <t>贵阳</t>
  </si>
  <si>
    <t>北京</t>
  </si>
  <si>
    <t>电梯广告退租</t>
  </si>
  <si>
    <t>小计</t>
  </si>
  <si>
    <t>闽江</t>
  </si>
  <si>
    <t>腾冲</t>
  </si>
  <si>
    <t>罗源</t>
  </si>
  <si>
    <t>连江</t>
  </si>
  <si>
    <t>5月签约合同已计入4月</t>
  </si>
  <si>
    <t>版纳</t>
  </si>
  <si>
    <t>昆明</t>
  </si>
  <si>
    <t>2个合同退租，26年金额6.5万</t>
  </si>
  <si>
    <t>合计</t>
  </si>
  <si>
    <t>· 全年预估收入=已入账+待入账+待续签
· 与财务差异原因：
1. 宁波：换电柜业务（以生活名义对外签约）收入为每月指标划拨，未在本体空间资源应收账款未体现，公司统计时未计入待入账；经营用房、电梯广告协商退租部分、代租车位预估收入未计入待入账
2. 除宁波外，其他12家公司差额为数据导出时间不一致（本体统计时间为6月5日，财务统计时间为6月22日）</t>
  </si>
  <si>
    <t>2026年2月新增及涨价</t>
  </si>
  <si>
    <t>新增合同数量</t>
  </si>
  <si>
    <t>26年对应金额/万元</t>
  </si>
  <si>
    <t>涨价合同数量</t>
  </si>
  <si>
    <t>合计/万元</t>
  </si>
  <si>
    <t>经营简报（全口径）</t>
  </si>
  <si>
    <t>· 收费率=实收/（应收-减免），当期、历欠各项数据均为全口径</t>
  </si>
  <si>
    <t>当期收费率</t>
  </si>
  <si>
    <t>历欠收费率</t>
  </si>
  <si>
    <t>2026年</t>
  </si>
  <si>
    <t>2025年</t>
  </si>
  <si>
    <t>同比</t>
  </si>
  <si>
    <t>应收</t>
  </si>
  <si>
    <t>实收</t>
  </si>
  <si>
    <t>收费率</t>
  </si>
  <si>
    <t>广州</t>
  </si>
  <si>
    <t>当期收费简报-自建</t>
  </si>
  <si>
    <t>· 收费率=实收/（应收-减免），其他项不含筑科案场服务费</t>
  </si>
  <si>
    <t>直收项（物、车）</t>
  </si>
  <si>
    <t>代收项（代收水电、公摊水电）</t>
  </si>
  <si>
    <t>其他项（不含筑科案场服务费）</t>
  </si>
  <si>
    <t>电梯广告收入减少</t>
  </si>
  <si>
    <t>空置商铺、公寓未缴费，现尝试分段收费</t>
  </si>
  <si>
    <t>A区收费进度较慢</t>
  </si>
  <si>
    <t>1. 直收：空置房、管委会未缴费
2. 其他：5间经营用房退租</t>
  </si>
  <si>
    <t>铁塔、联通电费未支付</t>
  </si>
  <si>
    <t>1. 代收：宜宅充电桩电费未付
2. 其他：电梯广告费未付</t>
  </si>
  <si>
    <t>当期收费简报-外拓</t>
  </si>
  <si>
    <t>· 收费率=实收/（应收-减免），各项数据为全口径</t>
  </si>
  <si>
    <t>其他项</t>
  </si>
  <si>
    <t>——</t>
  </si>
  <si>
    <t>5个单业权项目回款滞后</t>
  </si>
  <si>
    <t>玺宇悦城开发商遗留问题影响收费</t>
  </si>
  <si>
    <t>其他项应收减少，影响收费率</t>
  </si>
  <si>
    <t>应收增加，收费进度较慢</t>
  </si>
  <si>
    <t>3个公建项目回款慢</t>
  </si>
  <si>
    <t>历欠收费简报-自建（不含筑科案场）</t>
  </si>
  <si>
    <t>· 回款率=实收/应收，与清欠指标核算口径一致，未剔除减免</t>
  </si>
  <si>
    <t>1年以内</t>
  </si>
  <si>
    <t>2-3年</t>
  </si>
  <si>
    <t>3年以上</t>
  </si>
  <si>
    <t>基础指标</t>
  </si>
  <si>
    <t>指标
完成率</t>
  </si>
  <si>
    <t>回款率</t>
  </si>
  <si>
    <t>都会/望辰府收费进度较慢</t>
  </si>
  <si>
    <t>B区、F区收费进度较慢</t>
  </si>
  <si>
    <t>外墙漏水问题，福建商会及社区欠费约100万</t>
  </si>
  <si>
    <t>1年期、2-3年应收减少，影响收费率</t>
  </si>
  <si>
    <t>收费进度慢</t>
  </si>
  <si>
    <t>1年期应收减少、2-3年期回款进度较慢</t>
  </si>
  <si>
    <t>法拍房欠费回款较慢</t>
  </si>
  <si>
    <t>历欠收费简报-外拓多业权（在管+撤场1年内）</t>
  </si>
  <si>
    <t>玺宇悦城未收房欠费挂账，公司与财务沟通中</t>
  </si>
  <si>
    <t>项目撤场应收减少，影响收费率</t>
  </si>
  <si>
    <t>撤场项目回款进度慢</t>
  </si>
  <si>
    <t>筑科案场经营简报</t>
  </si>
  <si>
    <t>· 收费率=实收/（应收-减免）</t>
  </si>
  <si>
    <t>当期收费简报-宁波望辰府、都会文澜小业主</t>
  </si>
  <si>
    <t>项目</t>
  </si>
  <si>
    <t>直收项</t>
  </si>
  <si>
    <t>代收项</t>
  </si>
  <si>
    <t>望辰府</t>
  </si>
  <si>
    <t>都会文澜</t>
  </si>
  <si>
    <t>宁波自建
（不含都会、望辰府）</t>
  </si>
  <si>
    <t>历欠收费简报-宁波望辰府、都会文澜小业主</t>
  </si>
  <si>
    <t>自建项目</t>
  </si>
  <si>
    <t>外拓项目</t>
  </si>
  <si>
    <t>历欠总额</t>
  </si>
  <si>
    <t>1-3月回款</t>
  </si>
  <si>
    <t>指标完成率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</si>
</sst>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%"/>
    <numFmt numFmtId="179" formatCode="0_ "/>
  </numFmts>
  <fonts count="4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9"/>
      <color theme="1"/>
      <name val="微软雅黑"/>
      <charset val="134"/>
    </font>
    <font>
      <b/>
      <sz val="16"/>
      <color theme="1"/>
      <name val="微软雅黑"/>
      <charset val="134"/>
    </font>
    <font>
      <sz val="10"/>
      <name val="微软雅黑"/>
      <charset val="134"/>
    </font>
    <font>
      <sz val="9"/>
      <color rgb="FFFF0000"/>
      <name val="微软雅黑"/>
      <charset val="134"/>
    </font>
    <font>
      <b/>
      <sz val="18"/>
      <color theme="1"/>
      <name val="微软雅黑"/>
      <charset val="134"/>
    </font>
    <font>
      <sz val="1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sz val="8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16" applyNumberFormat="0" applyAlignment="0" applyProtection="0">
      <alignment vertical="center"/>
    </xf>
    <xf numFmtId="0" fontId="28" fillId="8" borderId="17" applyNumberFormat="0" applyAlignment="0" applyProtection="0">
      <alignment vertical="center"/>
    </xf>
    <xf numFmtId="0" fontId="29" fillId="8" borderId="16" applyNumberFormat="0" applyAlignment="0" applyProtection="0">
      <alignment vertical="center"/>
    </xf>
    <xf numFmtId="0" fontId="30" fillId="9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38" fillId="0" borderId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3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9" fontId="5" fillId="2" borderId="1" xfId="3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9" fontId="5" fillId="0" borderId="5" xfId="0" applyNumberFormat="1" applyFont="1" applyBorder="1" applyAlignment="1">
      <alignment horizontal="center" vertical="center"/>
    </xf>
    <xf numFmtId="179" fontId="5" fillId="0" borderId="6" xfId="0" applyNumberFormat="1" applyFont="1" applyBorder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179" fontId="5" fillId="0" borderId="8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5" fillId="0" borderId="9" xfId="0" applyNumberFormat="1" applyFont="1" applyBorder="1" applyAlignment="1">
      <alignment horizontal="center" vertical="center"/>
    </xf>
    <xf numFmtId="9" fontId="5" fillId="0" borderId="1" xfId="3" applyNumberFormat="1" applyFont="1" applyBorder="1" applyAlignment="1">
      <alignment horizontal="center" vertical="center"/>
    </xf>
    <xf numFmtId="9" fontId="5" fillId="0" borderId="1" xfId="3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9" fontId="11" fillId="0" borderId="1" xfId="3" applyFont="1" applyFill="1" applyBorder="1" applyAlignment="1">
      <alignment horizontal="center" vertical="center"/>
    </xf>
    <xf numFmtId="9" fontId="1" fillId="0" borderId="1" xfId="3" applyFont="1" applyFill="1" applyBorder="1" applyAlignment="1">
      <alignment horizontal="center" vertical="center"/>
    </xf>
    <xf numFmtId="179" fontId="1" fillId="0" borderId="1" xfId="3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9" fontId="1" fillId="2" borderId="1" xfId="3" applyFont="1" applyFill="1" applyBorder="1" applyAlignment="1">
      <alignment horizontal="center" vertical="center"/>
    </xf>
    <xf numFmtId="9" fontId="1" fillId="0" borderId="1" xfId="3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9" fontId="1" fillId="3" borderId="1" xfId="3" applyFont="1" applyFill="1" applyBorder="1" applyAlignment="1">
      <alignment horizontal="center" vertical="center"/>
    </xf>
    <xf numFmtId="179" fontId="1" fillId="3" borderId="1" xfId="3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1" fillId="4" borderId="1" xfId="3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Fill="1">
      <alignment vertical="center"/>
    </xf>
    <xf numFmtId="0" fontId="9" fillId="0" borderId="0" xfId="0" applyFont="1">
      <alignment vertical="center"/>
    </xf>
    <xf numFmtId="0" fontId="11" fillId="0" borderId="1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179" fontId="11" fillId="0" borderId="1" xfId="3" applyNumberFormat="1" applyFont="1" applyFill="1" applyBorder="1" applyAlignment="1">
      <alignment horizontal="center" vertical="center"/>
    </xf>
    <xf numFmtId="9" fontId="11" fillId="2" borderId="1" xfId="3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9" fontId="9" fillId="0" borderId="0" xfId="0" applyNumberFormat="1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9" fontId="14" fillId="0" borderId="1" xfId="3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  <xf numFmtId="9" fontId="5" fillId="3" borderId="1" xfId="3" applyFont="1" applyFill="1" applyBorder="1" applyAlignment="1">
      <alignment horizontal="center" vertical="center"/>
    </xf>
    <xf numFmtId="9" fontId="5" fillId="3" borderId="1" xfId="3" applyNumberFormat="1" applyFont="1" applyFill="1" applyBorder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9" fontId="17" fillId="0" borderId="1" xfId="0" applyNumberFormat="1" applyFont="1" applyFill="1" applyBorder="1" applyAlignment="1">
      <alignment horizontal="left" vertical="center"/>
    </xf>
    <xf numFmtId="179" fontId="9" fillId="0" borderId="0" xfId="0" applyNumberFormat="1" applyFont="1" applyFill="1" applyAlignment="1">
      <alignment horizontal="center" vertical="center"/>
    </xf>
    <xf numFmtId="179" fontId="17" fillId="0" borderId="1" xfId="0" applyNumberFormat="1" applyFont="1" applyFill="1" applyBorder="1" applyAlignment="1">
      <alignment horizontal="left" vertical="center" wrapText="1"/>
    </xf>
    <xf numFmtId="179" fontId="9" fillId="2" borderId="1" xfId="0" applyNumberFormat="1" applyFont="1" applyFill="1" applyBorder="1" applyAlignment="1">
      <alignment horizontal="center" vertical="center"/>
    </xf>
    <xf numFmtId="179" fontId="18" fillId="0" borderId="1" xfId="0" applyNumberFormat="1" applyFont="1" applyFill="1" applyBorder="1" applyAlignment="1">
      <alignment horizontal="center" vertical="center"/>
    </xf>
    <xf numFmtId="179" fontId="9" fillId="5" borderId="0" xfId="0" applyNumberFormat="1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79" fontId="15" fillId="3" borderId="1" xfId="0" applyNumberFormat="1" applyFont="1" applyFill="1" applyBorder="1" applyAlignment="1">
      <alignment horizontal="center" vertical="center"/>
    </xf>
    <xf numFmtId="179" fontId="17" fillId="3" borderId="1" xfId="0" applyNumberFormat="1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  <cellStyle name="常规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EA6A4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001%20%20&#20135;&#19994;&#36816;&#33829;&#20998;&#26512;\2026&#24180;\5&#26376;\&#36130;&#21153;&#25968;&#25454;\0&#12289;2026.5&#26376;&#25910;&#36153;&#29575;&#27719;&#24635;&#34920;%20-&#2602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001%20%20&#20135;&#19994;&#36816;&#33829;&#20998;&#26512;\2026&#24180;\5&#26376;\&#36130;&#21153;&#25968;&#25454;\2026&#24180;5&#26376;&#12298;&#21382;&#27424;&#24212;&#25910;&#36134;&#27454;&#22238;&#27454;&#36134;&#40836;&#32479;&#35745;&#34920;&#12299;+&#20998;&#26512;-&#32473;&#21697;&#3613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001%20%20&#20135;&#19994;&#36816;&#33829;&#20998;&#26512;\2026&#24180;\5&#26376;\&#36130;&#21153;&#25968;&#25454;\2025&#24180;5&#26376;&#12298;&#21382;&#27424;&#24212;&#25910;&#36134;&#27454;&#22238;&#27454;&#36134;&#40836;&#32479;&#35745;&#34920;&#12299;-&#32447;&#19978;&#34920;&#23548;&#209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212;&#29992;&#32531;&#23384;\&#20225;&#19994;&#24494;&#20449;\WXWork\1688850159724883\Cache\File\2026-06\&#31354;&#38388;&#36164;&#28304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团物业各区域业务数据"/>
      <sheetName val="汇总简表"/>
      <sheetName val="收费率表"/>
      <sheetName val="直收代收-26应收减免 (原)"/>
      <sheetName val="直收代收-26应收减免 (调整)"/>
      <sheetName val="直收代收-25应收减免（原）"/>
      <sheetName val="直收代收-25应收减免（调整）"/>
      <sheetName val="筑科案场+义乌小业主"/>
      <sheetName val="当期数据校验"/>
      <sheetName val="9月历欠表（当期）"/>
    </sheetNames>
    <sheetDataSet>
      <sheetData sheetId="0"/>
      <sheetData sheetId="1"/>
      <sheetData sheetId="2"/>
      <sheetData sheetId="3">
        <row r="2">
          <cell r="AD2" t="str">
            <v>公司</v>
          </cell>
          <cell r="AE2" t="str">
            <v>直收</v>
          </cell>
        </row>
        <row r="2">
          <cell r="AH2" t="str">
            <v>代收</v>
          </cell>
        </row>
        <row r="2">
          <cell r="AK2" t="str">
            <v>其他</v>
          </cell>
        </row>
        <row r="2">
          <cell r="AN2" t="str">
            <v>合计</v>
          </cell>
        </row>
        <row r="3">
          <cell r="AE3" t="str">
            <v>应收</v>
          </cell>
          <cell r="AF3" t="str">
            <v>回款</v>
          </cell>
          <cell r="AG3" t="str">
            <v>收费率</v>
          </cell>
          <cell r="AH3" t="str">
            <v>应收</v>
          </cell>
          <cell r="AI3" t="str">
            <v>回款</v>
          </cell>
          <cell r="AJ3" t="str">
            <v>收费率</v>
          </cell>
          <cell r="AK3" t="str">
            <v>应收</v>
          </cell>
          <cell r="AL3" t="str">
            <v>回款</v>
          </cell>
          <cell r="AM3" t="str">
            <v>收费率</v>
          </cell>
          <cell r="AN3" t="str">
            <v>应收</v>
          </cell>
          <cell r="AO3" t="str">
            <v>回款</v>
          </cell>
          <cell r="AP3" t="str">
            <v>收费率</v>
          </cell>
        </row>
        <row r="4">
          <cell r="AC4" t="str">
            <v>版纳</v>
          </cell>
          <cell r="AD4" t="str">
            <v>版纳</v>
          </cell>
          <cell r="AE4">
            <v>1834.13858</v>
          </cell>
          <cell r="AF4">
            <v>936.937705</v>
          </cell>
          <cell r="AG4">
            <v>0.510832559336929</v>
          </cell>
          <cell r="AH4">
            <v>318.580289</v>
          </cell>
          <cell r="AI4">
            <v>222.833608</v>
          </cell>
          <cell r="AJ4">
            <v>0.699458239238398</v>
          </cell>
          <cell r="AK4">
            <v>471.650547</v>
          </cell>
          <cell r="AL4">
            <v>248.40528</v>
          </cell>
          <cell r="AM4">
            <v>0.526672303424679</v>
          </cell>
          <cell r="AN4">
            <v>2624.369416</v>
          </cell>
          <cell r="AO4">
            <v>1408.176593</v>
          </cell>
          <cell r="AP4">
            <v>0.536577123790106</v>
          </cell>
        </row>
        <row r="5">
          <cell r="AC5" t="str">
            <v>北城</v>
          </cell>
          <cell r="AD5" t="str">
            <v>北城</v>
          </cell>
          <cell r="AE5">
            <v>6342.238424</v>
          </cell>
          <cell r="AF5">
            <v>4138.676343</v>
          </cell>
          <cell r="AG5">
            <v>0.652557672278389</v>
          </cell>
          <cell r="AH5">
            <v>2059.56398</v>
          </cell>
          <cell r="AI5">
            <v>1977.97755</v>
          </cell>
          <cell r="AJ5">
            <v>0.960386552303172</v>
          </cell>
          <cell r="AK5">
            <v>812.865511</v>
          </cell>
          <cell r="AL5">
            <v>671.524101</v>
          </cell>
          <cell r="AM5">
            <v>0.826119563338197</v>
          </cell>
          <cell r="AN5">
            <v>9214.667915</v>
          </cell>
          <cell r="AO5">
            <v>6788.177994</v>
          </cell>
          <cell r="AP5">
            <v>0.736670931238872</v>
          </cell>
        </row>
        <row r="6">
          <cell r="AC6" t="str">
            <v>北京</v>
          </cell>
          <cell r="AD6" t="str">
            <v>北京</v>
          </cell>
          <cell r="AE6">
            <v>12628.590702</v>
          </cell>
          <cell r="AF6">
            <v>9382.314258</v>
          </cell>
          <cell r="AG6">
            <v>0.742942302858395</v>
          </cell>
          <cell r="AH6">
            <v>1247.820639</v>
          </cell>
          <cell r="AI6">
            <v>1157.923517</v>
          </cell>
          <cell r="AJ6">
            <v>0.927956695705848</v>
          </cell>
          <cell r="AK6">
            <v>1035.651844</v>
          </cell>
          <cell r="AL6">
            <v>693.782356</v>
          </cell>
          <cell r="AM6">
            <v>0.669899213736156</v>
          </cell>
          <cell r="AN6">
            <v>14912.063185</v>
          </cell>
          <cell r="AO6">
            <v>11234.020131</v>
          </cell>
          <cell r="AP6">
            <v>0.753351162185275</v>
          </cell>
        </row>
        <row r="7">
          <cell r="AC7" t="str">
            <v>滨湖</v>
          </cell>
          <cell r="AD7" t="str">
            <v>滨湖</v>
          </cell>
          <cell r="AE7">
            <v>4510.907451</v>
          </cell>
          <cell r="AF7">
            <v>2922.770584</v>
          </cell>
          <cell r="AG7">
            <v>0.647934061106057</v>
          </cell>
          <cell r="AH7">
            <v>1379.002588</v>
          </cell>
          <cell r="AI7">
            <v>1307.404542</v>
          </cell>
          <cell r="AJ7">
            <v>0.948079832030018</v>
          </cell>
          <cell r="AK7">
            <v>555.680779</v>
          </cell>
          <cell r="AL7">
            <v>505.327619</v>
          </cell>
          <cell r="AM7">
            <v>0.909384736879661</v>
          </cell>
          <cell r="AN7">
            <v>6445.590818</v>
          </cell>
          <cell r="AO7">
            <v>4735.502745</v>
          </cell>
          <cell r="AP7">
            <v>0.734688700960601</v>
          </cell>
        </row>
        <row r="8">
          <cell r="AC8" t="str">
            <v>阜阳</v>
          </cell>
          <cell r="AD8" t="str">
            <v>阜阳</v>
          </cell>
          <cell r="AE8">
            <v>2017.605807</v>
          </cell>
          <cell r="AF8">
            <v>1392.682029</v>
          </cell>
          <cell r="AG8">
            <v>0.690264681122619</v>
          </cell>
          <cell r="AH8">
            <v>56.769905</v>
          </cell>
          <cell r="AI8">
            <v>49.859005</v>
          </cell>
          <cell r="AJ8">
            <v>0.878264724945374</v>
          </cell>
          <cell r="AK8">
            <v>202.468055</v>
          </cell>
          <cell r="AL8">
            <v>174.34604</v>
          </cell>
          <cell r="AM8">
            <v>0.861103940569785</v>
          </cell>
          <cell r="AN8">
            <v>2276.843767</v>
          </cell>
          <cell r="AO8">
            <v>1616.887074</v>
          </cell>
          <cell r="AP8">
            <v>0.710144058821582</v>
          </cell>
        </row>
        <row r="9">
          <cell r="AC9" t="str">
            <v>贵阳</v>
          </cell>
          <cell r="AD9" t="str">
            <v>贵阳</v>
          </cell>
          <cell r="AE9">
            <v>7062.273853</v>
          </cell>
          <cell r="AF9">
            <v>4450.744679</v>
          </cell>
          <cell r="AG9">
            <v>0.630214116818673</v>
          </cell>
          <cell r="AH9">
            <v>1880.236373</v>
          </cell>
          <cell r="AI9">
            <v>1827.124652</v>
          </cell>
          <cell r="AJ9">
            <v>0.971752636124543</v>
          </cell>
          <cell r="AK9">
            <v>709.068059</v>
          </cell>
          <cell r="AL9">
            <v>630.335325</v>
          </cell>
          <cell r="AM9">
            <v>0.888963079071652</v>
          </cell>
          <cell r="AN9">
            <v>9651.578285</v>
          </cell>
          <cell r="AO9">
            <v>6908.204656</v>
          </cell>
          <cell r="AP9">
            <v>0.715759065720514</v>
          </cell>
        </row>
        <row r="10">
          <cell r="AC10" t="str">
            <v>昆明</v>
          </cell>
          <cell r="AD10" t="str">
            <v>昆明</v>
          </cell>
          <cell r="AE10">
            <v>3795.99336</v>
          </cell>
          <cell r="AF10">
            <v>2930.458736</v>
          </cell>
          <cell r="AG10">
            <v>0.771987318755479</v>
          </cell>
          <cell r="AH10">
            <v>703.044014</v>
          </cell>
          <cell r="AI10">
            <v>670.197963</v>
          </cell>
          <cell r="AJ10">
            <v>0.953280235168889</v>
          </cell>
          <cell r="AK10">
            <v>1354.09432</v>
          </cell>
          <cell r="AL10">
            <v>1174.391186</v>
          </cell>
          <cell r="AM10">
            <v>0.867289057087249</v>
          </cell>
          <cell r="AN10">
            <v>5853.131694</v>
          </cell>
          <cell r="AO10">
            <v>4775.047885</v>
          </cell>
          <cell r="AP10">
            <v>0.815810771846269</v>
          </cell>
        </row>
        <row r="11">
          <cell r="AC11" t="str">
            <v>连江</v>
          </cell>
          <cell r="AD11" t="str">
            <v>连江</v>
          </cell>
          <cell r="AE11">
            <v>3891.051213</v>
          </cell>
          <cell r="AF11">
            <v>2384.357625</v>
          </cell>
          <cell r="AG11">
            <v>0.612779810513381</v>
          </cell>
          <cell r="AH11">
            <v>937.959434</v>
          </cell>
          <cell r="AI11">
            <v>620.792502</v>
          </cell>
          <cell r="AJ11">
            <v>0.661854318531221</v>
          </cell>
          <cell r="AK11">
            <v>401.595126</v>
          </cell>
          <cell r="AL11">
            <v>371.79264</v>
          </cell>
          <cell r="AM11">
            <v>0.92578972186032</v>
          </cell>
          <cell r="AN11">
            <v>5230.605773</v>
          </cell>
          <cell r="AO11">
            <v>3376.942767</v>
          </cell>
          <cell r="AP11">
            <v>0.645612174488762</v>
          </cell>
        </row>
        <row r="12">
          <cell r="AC12" t="str">
            <v>罗源</v>
          </cell>
          <cell r="AD12" t="str">
            <v>罗源</v>
          </cell>
          <cell r="AE12">
            <v>3789.35655</v>
          </cell>
          <cell r="AF12">
            <v>2755.870097</v>
          </cell>
          <cell r="AG12">
            <v>0.727265977913849</v>
          </cell>
          <cell r="AH12">
            <v>1109.517479</v>
          </cell>
          <cell r="AI12">
            <v>749.148266</v>
          </cell>
          <cell r="AJ12">
            <v>0.675201860429636</v>
          </cell>
          <cell r="AK12">
            <v>522.854565</v>
          </cell>
          <cell r="AL12">
            <v>507.072147</v>
          </cell>
          <cell r="AM12">
            <v>0.969814898718538</v>
          </cell>
          <cell r="AN12">
            <v>5421.728594</v>
          </cell>
          <cell r="AO12">
            <v>4012.09051</v>
          </cell>
          <cell r="AP12">
            <v>0.740002093509441</v>
          </cell>
        </row>
        <row r="13">
          <cell r="AC13" t="str">
            <v>闽江</v>
          </cell>
          <cell r="AD13" t="str">
            <v>福州</v>
          </cell>
          <cell r="AE13">
            <v>2817.909405</v>
          </cell>
          <cell r="AF13">
            <v>1938.052262</v>
          </cell>
          <cell r="AG13">
            <v>0.687762444939212</v>
          </cell>
          <cell r="AH13">
            <v>715.099974</v>
          </cell>
          <cell r="AI13">
            <v>529.305907</v>
          </cell>
          <cell r="AJ13">
            <v>0.740184486428187</v>
          </cell>
          <cell r="AK13">
            <v>290.901541</v>
          </cell>
          <cell r="AL13">
            <v>259.140729</v>
          </cell>
          <cell r="AM13">
            <v>0.890819375205716</v>
          </cell>
          <cell r="AN13">
            <v>3823.91092</v>
          </cell>
          <cell r="AO13">
            <v>2726.498898</v>
          </cell>
          <cell r="AP13">
            <v>0.71301318337196</v>
          </cell>
        </row>
        <row r="14">
          <cell r="AC14" t="str">
            <v>宁波</v>
          </cell>
          <cell r="AD14" t="str">
            <v>宁波</v>
          </cell>
          <cell r="AE14">
            <v>5624.168402</v>
          </cell>
          <cell r="AF14">
            <v>3608.70645</v>
          </cell>
          <cell r="AG14">
            <v>0.641642673558052</v>
          </cell>
          <cell r="AH14">
            <v>466.538894</v>
          </cell>
          <cell r="AI14">
            <v>446.834819</v>
          </cell>
          <cell r="AJ14">
            <v>0.957765418374743</v>
          </cell>
          <cell r="AK14">
            <v>1107.601502</v>
          </cell>
          <cell r="AL14">
            <v>759.026637</v>
          </cell>
          <cell r="AM14">
            <v>0.685288558772648</v>
          </cell>
          <cell r="AN14">
            <v>7198.308798</v>
          </cell>
          <cell r="AO14">
            <v>4814.567906</v>
          </cell>
          <cell r="AP14">
            <v>0.668847091880484</v>
          </cell>
        </row>
        <row r="15">
          <cell r="AC15" t="str">
            <v>腾冲</v>
          </cell>
          <cell r="AD15" t="str">
            <v>腾冲</v>
          </cell>
          <cell r="AE15">
            <v>1482.263493</v>
          </cell>
          <cell r="AF15">
            <v>899.743511</v>
          </cell>
          <cell r="AG15">
            <v>0.607006456847278</v>
          </cell>
          <cell r="AH15">
            <v>457.543279</v>
          </cell>
          <cell r="AI15">
            <v>414.438511</v>
          </cell>
          <cell r="AJ15">
            <v>0.905790839952432</v>
          </cell>
          <cell r="AK15">
            <v>262.387504</v>
          </cell>
          <cell r="AL15">
            <v>261.468604</v>
          </cell>
          <cell r="AM15">
            <v>0.996497927736681</v>
          </cell>
          <cell r="AN15">
            <v>2202.194276</v>
          </cell>
          <cell r="AO15">
            <v>1575.650626</v>
          </cell>
          <cell r="AP15">
            <v>0.715491200377636</v>
          </cell>
        </row>
        <row r="16">
          <cell r="AC16" t="str">
            <v>长沙</v>
          </cell>
          <cell r="AD16" t="str">
            <v>长沙</v>
          </cell>
          <cell r="AE16">
            <v>3362.72309</v>
          </cell>
          <cell r="AF16">
            <v>2108.741765</v>
          </cell>
          <cell r="AG16">
            <v>0.62709349195922</v>
          </cell>
          <cell r="AH16">
            <v>830.554526</v>
          </cell>
          <cell r="AI16">
            <v>757.276063</v>
          </cell>
          <cell r="AJ16">
            <v>0.911771640866358</v>
          </cell>
          <cell r="AK16">
            <v>270.086148</v>
          </cell>
          <cell r="AL16">
            <v>230.017667</v>
          </cell>
          <cell r="AM16">
            <v>0.851645553477256</v>
          </cell>
          <cell r="AN16">
            <v>4463.363764</v>
          </cell>
          <cell r="AO16">
            <v>3096.035495</v>
          </cell>
          <cell r="AP16">
            <v>0.693655202377092</v>
          </cell>
        </row>
        <row r="17">
          <cell r="AC17" t="str">
            <v>广州</v>
          </cell>
          <cell r="AD17" t="str">
            <v>广州</v>
          </cell>
          <cell r="AE17">
            <v>76.986661</v>
          </cell>
          <cell r="AF17">
            <v>47.22046</v>
          </cell>
          <cell r="AG17">
            <v>0.613358981759191</v>
          </cell>
          <cell r="AH17">
            <v>5.791917</v>
          </cell>
          <cell r="AI17">
            <v>5.791917</v>
          </cell>
          <cell r="AJ17">
            <v>1</v>
          </cell>
          <cell r="AK17">
            <v>566.265505</v>
          </cell>
          <cell r="AL17">
            <v>332.080737</v>
          </cell>
          <cell r="AM17">
            <v>0.586439989841868</v>
          </cell>
          <cell r="AN17">
            <v>649.044083</v>
          </cell>
          <cell r="AO17">
            <v>385.093114</v>
          </cell>
          <cell r="AP17">
            <v>0.593323510816137</v>
          </cell>
        </row>
        <row r="26">
          <cell r="AD26" t="str">
            <v>公司</v>
          </cell>
          <cell r="AE26" t="str">
            <v>直收</v>
          </cell>
        </row>
        <row r="26">
          <cell r="AH26" t="str">
            <v>代收</v>
          </cell>
        </row>
        <row r="26">
          <cell r="AK26" t="str">
            <v>其他</v>
          </cell>
        </row>
        <row r="26">
          <cell r="AN26" t="str">
            <v>合计</v>
          </cell>
        </row>
        <row r="27">
          <cell r="AE27" t="str">
            <v>应收</v>
          </cell>
          <cell r="AF27" t="str">
            <v>回款</v>
          </cell>
          <cell r="AG27" t="str">
            <v>收费率</v>
          </cell>
          <cell r="AH27" t="str">
            <v>应收</v>
          </cell>
          <cell r="AI27" t="str">
            <v>回款</v>
          </cell>
          <cell r="AJ27" t="str">
            <v>收费率</v>
          </cell>
          <cell r="AK27" t="str">
            <v>应收</v>
          </cell>
          <cell r="AL27" t="str">
            <v>回款</v>
          </cell>
          <cell r="AM27" t="str">
            <v>收费率</v>
          </cell>
          <cell r="AN27" t="str">
            <v>应收</v>
          </cell>
          <cell r="AO27" t="str">
            <v>回款</v>
          </cell>
          <cell r="AP27" t="str">
            <v>收费率</v>
          </cell>
        </row>
        <row r="28">
          <cell r="AC28" t="str">
            <v>版纳</v>
          </cell>
          <cell r="AD28" t="str">
            <v>版纳</v>
          </cell>
          <cell r="AE28">
            <v>1319.577363</v>
          </cell>
          <cell r="AF28">
            <v>235.151458</v>
          </cell>
          <cell r="AG28">
            <v>0.178202100606965</v>
          </cell>
          <cell r="AH28">
            <v>75.10767</v>
          </cell>
          <cell r="AI28">
            <v>25.404641</v>
          </cell>
          <cell r="AJ28">
            <v>0.338242965066018</v>
          </cell>
          <cell r="AK28">
            <v>650.580626</v>
          </cell>
          <cell r="AL28">
            <v>111.587235</v>
          </cell>
          <cell r="AM28">
            <v>0.171519455914447</v>
          </cell>
          <cell r="AN28">
            <v>2045.265659</v>
          </cell>
          <cell r="AO28">
            <v>372.143334</v>
          </cell>
          <cell r="AP28">
            <v>0.18195354347364</v>
          </cell>
        </row>
        <row r="29">
          <cell r="AC29" t="str">
            <v>北城</v>
          </cell>
          <cell r="AD29" t="str">
            <v>北城</v>
          </cell>
          <cell r="AE29">
            <v>3862.238737</v>
          </cell>
          <cell r="AF29">
            <v>1066.107876</v>
          </cell>
          <cell r="AG29">
            <v>0.276033655244238</v>
          </cell>
          <cell r="AH29">
            <v>91.650798</v>
          </cell>
          <cell r="AI29">
            <v>79.412516</v>
          </cell>
          <cell r="AJ29">
            <v>0.866468353063331</v>
          </cell>
          <cell r="AK29">
            <v>535.379102</v>
          </cell>
          <cell r="AL29">
            <v>109.852749</v>
          </cell>
          <cell r="AM29">
            <v>0.205186845339361</v>
          </cell>
          <cell r="AN29">
            <v>4489.268637</v>
          </cell>
          <cell r="AO29">
            <v>1255.373141</v>
          </cell>
          <cell r="AP29">
            <v>0.279638676699668</v>
          </cell>
        </row>
        <row r="30">
          <cell r="AC30" t="str">
            <v>北京</v>
          </cell>
          <cell r="AD30" t="str">
            <v>北京</v>
          </cell>
          <cell r="AE30">
            <v>5182.750836</v>
          </cell>
          <cell r="AF30">
            <v>1038.947038</v>
          </cell>
          <cell r="AG30">
            <v>0.200462470775819</v>
          </cell>
          <cell r="AH30">
            <v>97.689427</v>
          </cell>
          <cell r="AI30">
            <v>34.407515</v>
          </cell>
          <cell r="AJ30">
            <v>0.352213295303697</v>
          </cell>
          <cell r="AK30">
            <v>717.584746</v>
          </cell>
          <cell r="AL30">
            <v>206.636914</v>
          </cell>
          <cell r="AM30">
            <v>0.287961686967075</v>
          </cell>
          <cell r="AN30">
            <v>5998.025009</v>
          </cell>
          <cell r="AO30">
            <v>1279.991467</v>
          </cell>
          <cell r="AP30">
            <v>0.213402155722822</v>
          </cell>
        </row>
        <row r="31">
          <cell r="AC31" t="str">
            <v>滨湖</v>
          </cell>
          <cell r="AD31" t="str">
            <v>滨湖</v>
          </cell>
          <cell r="AE31">
            <v>1790.112975</v>
          </cell>
          <cell r="AF31">
            <v>982.804901</v>
          </cell>
          <cell r="AG31">
            <v>0.549018366284955</v>
          </cell>
          <cell r="AH31">
            <v>66.246427</v>
          </cell>
          <cell r="AI31">
            <v>49.266268</v>
          </cell>
          <cell r="AJ31">
            <v>0.743681889439864</v>
          </cell>
          <cell r="AK31">
            <v>74.713401</v>
          </cell>
          <cell r="AL31">
            <v>28.117313</v>
          </cell>
          <cell r="AM31">
            <v>0.376335605442456</v>
          </cell>
          <cell r="AN31">
            <v>1931.072803</v>
          </cell>
          <cell r="AO31">
            <v>1060.188482</v>
          </cell>
          <cell r="AP31">
            <v>0.549015283293801</v>
          </cell>
        </row>
        <row r="32">
          <cell r="AC32" t="str">
            <v>阜阳</v>
          </cell>
          <cell r="AD32" t="str">
            <v>阜阳</v>
          </cell>
          <cell r="AE32">
            <v>1136.623325</v>
          </cell>
          <cell r="AF32">
            <v>798.817987</v>
          </cell>
          <cell r="AG32">
            <v>0.702799220665298</v>
          </cell>
          <cell r="AH32">
            <v>5.328658</v>
          </cell>
          <cell r="AI32">
            <v>4.253318</v>
          </cell>
          <cell r="AJ32">
            <v>0.798196844308642</v>
          </cell>
          <cell r="AK32">
            <v>68.891214</v>
          </cell>
          <cell r="AL32">
            <v>16.904148</v>
          </cell>
          <cell r="AM32">
            <v>0.24537451176285</v>
          </cell>
          <cell r="AN32">
            <v>1210.843197</v>
          </cell>
          <cell r="AO32">
            <v>819.975453</v>
          </cell>
          <cell r="AP32">
            <v>0.677193756410063</v>
          </cell>
        </row>
        <row r="33">
          <cell r="AC33" t="str">
            <v>贵阳</v>
          </cell>
          <cell r="AD33" t="str">
            <v>贵阳</v>
          </cell>
          <cell r="AE33">
            <v>4827.828428</v>
          </cell>
          <cell r="AF33">
            <v>1276.860559</v>
          </cell>
          <cell r="AG33">
            <v>0.264479274282943</v>
          </cell>
          <cell r="AH33">
            <v>89.158045</v>
          </cell>
          <cell r="AI33">
            <v>36.511433</v>
          </cell>
          <cell r="AJ33">
            <v>0.409513611474994</v>
          </cell>
          <cell r="AK33">
            <v>396.705621</v>
          </cell>
          <cell r="AL33">
            <v>151.365113</v>
          </cell>
          <cell r="AM33">
            <v>0.381555251519867</v>
          </cell>
          <cell r="AN33">
            <v>5313.692094</v>
          </cell>
          <cell r="AO33">
            <v>1464.737105</v>
          </cell>
          <cell r="AP33">
            <v>0.275653364758173</v>
          </cell>
        </row>
        <row r="34">
          <cell r="AC34" t="str">
            <v>昆明</v>
          </cell>
          <cell r="AD34" t="str">
            <v>昆明</v>
          </cell>
          <cell r="AE34">
            <v>2740.830506</v>
          </cell>
          <cell r="AF34">
            <v>330.359977</v>
          </cell>
          <cell r="AG34">
            <v>0.120532800651774</v>
          </cell>
          <cell r="AH34">
            <v>51.372592</v>
          </cell>
          <cell r="AI34">
            <v>4.437303</v>
          </cell>
          <cell r="AJ34">
            <v>0.0863749097962587</v>
          </cell>
          <cell r="AK34">
            <v>420.097606</v>
          </cell>
          <cell r="AL34">
            <v>118.142246</v>
          </cell>
          <cell r="AM34">
            <v>0.281225706389767</v>
          </cell>
          <cell r="AN34">
            <v>3212.300704</v>
          </cell>
          <cell r="AO34">
            <v>452.939526</v>
          </cell>
          <cell r="AP34">
            <v>0.141001595970139</v>
          </cell>
        </row>
        <row r="35">
          <cell r="AC35" t="str">
            <v>连江</v>
          </cell>
          <cell r="AD35" t="str">
            <v>连江</v>
          </cell>
          <cell r="AE35">
            <v>3138.505939</v>
          </cell>
          <cell r="AF35">
            <v>787.948809</v>
          </cell>
          <cell r="AG35">
            <v>0.251058568731292</v>
          </cell>
          <cell r="AH35">
            <v>1469.159023</v>
          </cell>
          <cell r="AI35">
            <v>367.654814</v>
          </cell>
          <cell r="AJ35">
            <v>0.250248481099925</v>
          </cell>
          <cell r="AK35">
            <v>24.183537</v>
          </cell>
          <cell r="AL35">
            <v>8.170095</v>
          </cell>
          <cell r="AM35">
            <v>0.337837058326084</v>
          </cell>
          <cell r="AN35">
            <v>4631.848499</v>
          </cell>
          <cell r="AO35">
            <v>1163.773718</v>
          </cell>
          <cell r="AP35">
            <v>0.251254702793335</v>
          </cell>
        </row>
        <row r="36">
          <cell r="AC36" t="str">
            <v>罗源</v>
          </cell>
          <cell r="AD36" t="str">
            <v>罗源</v>
          </cell>
          <cell r="AE36">
            <v>2204.121993</v>
          </cell>
          <cell r="AF36">
            <v>832.542928</v>
          </cell>
          <cell r="AG36">
            <v>0.377720893237328</v>
          </cell>
          <cell r="AH36">
            <v>919.781672</v>
          </cell>
          <cell r="AI36">
            <v>503.575024</v>
          </cell>
          <cell r="AJ36">
            <v>0.547494084009102</v>
          </cell>
          <cell r="AK36">
            <v>25.690798</v>
          </cell>
          <cell r="AL36">
            <v>17.182596</v>
          </cell>
          <cell r="AM36">
            <v>0.66882297700523</v>
          </cell>
          <cell r="AN36">
            <v>3149.594463</v>
          </cell>
          <cell r="AO36">
            <v>1353.300548</v>
          </cell>
          <cell r="AP36">
            <v>0.429674538705842</v>
          </cell>
        </row>
        <row r="37">
          <cell r="AC37" t="str">
            <v>闽江</v>
          </cell>
          <cell r="AD37" t="str">
            <v>福州</v>
          </cell>
          <cell r="AE37">
            <v>705.300638</v>
          </cell>
          <cell r="AF37">
            <v>344.666537</v>
          </cell>
          <cell r="AG37">
            <v>0.488680313656543</v>
          </cell>
          <cell r="AH37">
            <v>171.753284</v>
          </cell>
          <cell r="AI37">
            <v>101.762264</v>
          </cell>
          <cell r="AJ37">
            <v>0.592490936010283</v>
          </cell>
          <cell r="AK37">
            <v>12.34481</v>
          </cell>
          <cell r="AL37">
            <v>7.117036</v>
          </cell>
          <cell r="AM37">
            <v>0.576520497277803</v>
          </cell>
          <cell r="AN37">
            <v>889.398732</v>
          </cell>
          <cell r="AO37">
            <v>453.545837</v>
          </cell>
          <cell r="AP37">
            <v>0.509946574783289</v>
          </cell>
        </row>
        <row r="38">
          <cell r="AC38" t="str">
            <v>宁波</v>
          </cell>
          <cell r="AD38" t="str">
            <v>宁波</v>
          </cell>
          <cell r="AE38">
            <v>3149.202694</v>
          </cell>
          <cell r="AF38">
            <v>601.449025</v>
          </cell>
          <cell r="AG38">
            <v>0.190984539085371</v>
          </cell>
          <cell r="AH38">
            <v>97.176251</v>
          </cell>
          <cell r="AI38">
            <v>64.249527</v>
          </cell>
          <cell r="AJ38">
            <v>0.661164907462833</v>
          </cell>
          <cell r="AK38">
            <v>352.36706</v>
          </cell>
          <cell r="AL38">
            <v>177.255279</v>
          </cell>
          <cell r="AM38">
            <v>0.503041569776698</v>
          </cell>
          <cell r="AN38">
            <v>3598.746005</v>
          </cell>
          <cell r="AO38">
            <v>842.953831</v>
          </cell>
          <cell r="AP38">
            <v>0.234235433628498</v>
          </cell>
        </row>
        <row r="39">
          <cell r="AC39" t="str">
            <v>腾冲</v>
          </cell>
          <cell r="AD39" t="str">
            <v>腾冲</v>
          </cell>
          <cell r="AE39">
            <v>1303.938783</v>
          </cell>
          <cell r="AF39">
            <v>215.45703</v>
          </cell>
          <cell r="AG39">
            <v>0.165235540816029</v>
          </cell>
          <cell r="AH39">
            <v>53.945814</v>
          </cell>
          <cell r="AI39">
            <v>26.82879</v>
          </cell>
          <cell r="AJ39">
            <v>0.497328485950736</v>
          </cell>
          <cell r="AK39">
            <v>10.39675</v>
          </cell>
          <cell r="AL39">
            <v>1.369254</v>
          </cell>
          <cell r="AM39">
            <v>0.131700194772405</v>
          </cell>
          <cell r="AN39">
            <v>1368.281347</v>
          </cell>
          <cell r="AO39">
            <v>243.655074</v>
          </cell>
          <cell r="AP39">
            <v>0.178073811014249</v>
          </cell>
        </row>
        <row r="40">
          <cell r="AC40" t="str">
            <v>长沙</v>
          </cell>
          <cell r="AD40" t="str">
            <v>长沙</v>
          </cell>
          <cell r="AE40">
            <v>3866.59848</v>
          </cell>
          <cell r="AF40">
            <v>344.375989</v>
          </cell>
          <cell r="AG40">
            <v>0.08906432637919</v>
          </cell>
          <cell r="AH40">
            <v>71.520902</v>
          </cell>
          <cell r="AI40">
            <v>10.493469</v>
          </cell>
          <cell r="AJ40">
            <v>0.146718913024894</v>
          </cell>
          <cell r="AK40">
            <v>239.152541</v>
          </cell>
          <cell r="AL40">
            <v>32.913122</v>
          </cell>
          <cell r="AM40">
            <v>0.137623969464744</v>
          </cell>
          <cell r="AN40">
            <v>4177.271923</v>
          </cell>
          <cell r="AO40">
            <v>387.78258</v>
          </cell>
          <cell r="AP40">
            <v>0.0928315386568144</v>
          </cell>
        </row>
        <row r="41">
          <cell r="AC41" t="str">
            <v>广州</v>
          </cell>
          <cell r="AD41" t="str">
            <v>广州</v>
          </cell>
          <cell r="AE41">
            <v>43.74284</v>
          </cell>
          <cell r="AF41">
            <v>37.029994</v>
          </cell>
          <cell r="AG41">
            <v>0.84653840491381</v>
          </cell>
          <cell r="AH41">
            <v>0</v>
          </cell>
          <cell r="AI41">
            <v>0</v>
          </cell>
          <cell r="AJ41" t="e">
            <v>#DIV/0!</v>
          </cell>
          <cell r="AK41">
            <v>556.775766</v>
          </cell>
          <cell r="AL41">
            <v>50.555766</v>
          </cell>
          <cell r="AM41">
            <v>0.0908009455282219</v>
          </cell>
          <cell r="AN41">
            <v>600.518606</v>
          </cell>
          <cell r="AO41">
            <v>87.58576</v>
          </cell>
          <cell r="AP41">
            <v>0.145850202016888</v>
          </cell>
        </row>
      </sheetData>
      <sheetData sheetId="4">
        <row r="27">
          <cell r="B27" t="str">
            <v>公司</v>
          </cell>
          <cell r="C27" t="str">
            <v>直收</v>
          </cell>
        </row>
        <row r="27">
          <cell r="F27" t="str">
            <v>代收</v>
          </cell>
        </row>
        <row r="27">
          <cell r="I27" t="str">
            <v>其他</v>
          </cell>
        </row>
        <row r="27">
          <cell r="P27" t="str">
            <v>公司</v>
          </cell>
          <cell r="Q27" t="str">
            <v>直收</v>
          </cell>
        </row>
        <row r="27">
          <cell r="T27" t="str">
            <v>代收</v>
          </cell>
        </row>
        <row r="27">
          <cell r="W27" t="str">
            <v>其他</v>
          </cell>
        </row>
        <row r="28">
          <cell r="C28" t="str">
            <v>应收</v>
          </cell>
          <cell r="D28" t="str">
            <v>回款</v>
          </cell>
          <cell r="E28" t="str">
            <v>收费率</v>
          </cell>
          <cell r="F28" t="str">
            <v>应收</v>
          </cell>
          <cell r="G28" t="str">
            <v>回款</v>
          </cell>
          <cell r="H28" t="str">
            <v>收费率</v>
          </cell>
          <cell r="I28" t="str">
            <v>应收</v>
          </cell>
          <cell r="J28" t="str">
            <v>回款</v>
          </cell>
          <cell r="K28" t="str">
            <v>收费率</v>
          </cell>
        </row>
        <row r="28">
          <cell r="Q28" t="str">
            <v>应收</v>
          </cell>
          <cell r="R28" t="str">
            <v>回款</v>
          </cell>
          <cell r="S28" t="str">
            <v>收费率</v>
          </cell>
          <cell r="T28" t="str">
            <v>应收</v>
          </cell>
          <cell r="U28" t="str">
            <v>回款</v>
          </cell>
          <cell r="V28" t="str">
            <v>收费率</v>
          </cell>
          <cell r="W28" t="str">
            <v>应收</v>
          </cell>
          <cell r="X28" t="str">
            <v>回款</v>
          </cell>
          <cell r="Y28" t="str">
            <v>收费率</v>
          </cell>
        </row>
        <row r="29">
          <cell r="A29" t="str">
            <v>版纳</v>
          </cell>
          <cell r="B29" t="str">
            <v>版纳自建</v>
          </cell>
          <cell r="C29">
            <v>1083.099351</v>
          </cell>
          <cell r="D29">
            <v>620.746132</v>
          </cell>
          <cell r="E29">
            <v>0.573120214158452</v>
          </cell>
          <cell r="F29">
            <v>247.835582</v>
          </cell>
          <cell r="G29">
            <v>191.326943</v>
          </cell>
          <cell r="H29">
            <v>0.771991420505551</v>
          </cell>
          <cell r="I29">
            <v>372.635156</v>
          </cell>
          <cell r="J29">
            <v>201.464056</v>
          </cell>
          <cell r="K29">
            <v>0.540646937778463</v>
          </cell>
        </row>
        <row r="29">
          <cell r="O29" t="str">
            <v>版纳</v>
          </cell>
          <cell r="P29" t="str">
            <v>版纳外拓</v>
          </cell>
          <cell r="Q29">
            <v>751.039229</v>
          </cell>
          <cell r="R29">
            <v>316.191573</v>
          </cell>
          <cell r="S29">
            <v>0.421005402635233</v>
          </cell>
          <cell r="T29">
            <v>70.744707</v>
          </cell>
          <cell r="U29">
            <v>31.506665</v>
          </cell>
          <cell r="V29">
            <v>0.445357205310074</v>
          </cell>
          <cell r="W29">
            <v>99.015391</v>
          </cell>
          <cell r="X29">
            <v>46.941224</v>
          </cell>
          <cell r="Y29">
            <v>0.474080075086509</v>
          </cell>
        </row>
        <row r="30">
          <cell r="A30" t="str">
            <v>北城</v>
          </cell>
          <cell r="B30" t="str">
            <v>北城自建</v>
          </cell>
          <cell r="C30">
            <v>4342.980048</v>
          </cell>
          <cell r="D30">
            <v>3218.625903</v>
          </cell>
          <cell r="E30">
            <v>0.741109990703784</v>
          </cell>
          <cell r="F30">
            <v>1455.463677</v>
          </cell>
          <cell r="G30">
            <v>1392.984928</v>
          </cell>
          <cell r="H30">
            <v>0.957072958956433</v>
          </cell>
          <cell r="I30">
            <v>564.315874</v>
          </cell>
          <cell r="J30">
            <v>510.823181</v>
          </cell>
          <cell r="K30">
            <v>0.905207888942001</v>
          </cell>
        </row>
        <row r="30">
          <cell r="O30" t="str">
            <v>北城</v>
          </cell>
          <cell r="P30" t="str">
            <v>北城外拓</v>
          </cell>
          <cell r="Q30">
            <v>1999.258376</v>
          </cell>
          <cell r="R30">
            <v>920.05044</v>
          </cell>
          <cell r="S30">
            <v>0.460195866149519</v>
          </cell>
          <cell r="T30">
            <v>604.100303</v>
          </cell>
          <cell r="U30">
            <v>584.992622</v>
          </cell>
          <cell r="V30">
            <v>0.968370019175441</v>
          </cell>
          <cell r="W30">
            <v>193.127595</v>
          </cell>
          <cell r="X30">
            <v>160.70092</v>
          </cell>
          <cell r="Y30">
            <v>0.832097142824152</v>
          </cell>
        </row>
        <row r="31">
          <cell r="A31" t="str">
            <v>北京</v>
          </cell>
          <cell r="B31" t="str">
            <v>北京自建</v>
          </cell>
          <cell r="C31">
            <v>8869.072654</v>
          </cell>
          <cell r="D31">
            <v>7165.578336</v>
          </cell>
          <cell r="E31">
            <v>0.807928699599533</v>
          </cell>
          <cell r="F31">
            <v>1014.434508</v>
          </cell>
          <cell r="G31">
            <v>991.565802</v>
          </cell>
          <cell r="H31">
            <v>0.977456695509021</v>
          </cell>
          <cell r="I31">
            <v>657.407721</v>
          </cell>
          <cell r="J31">
            <v>561.14153</v>
          </cell>
          <cell r="K31">
            <v>0.853566990583002</v>
          </cell>
        </row>
        <row r="31">
          <cell r="O31" t="str">
            <v>北京</v>
          </cell>
          <cell r="P31" t="str">
            <v>北京外拓</v>
          </cell>
          <cell r="Q31">
            <v>3759.518048</v>
          </cell>
          <cell r="R31">
            <v>2216.735922</v>
          </cell>
          <cell r="S31">
            <v>0.58963300446962</v>
          </cell>
          <cell r="T31">
            <v>233.386131</v>
          </cell>
          <cell r="U31">
            <v>166.357715</v>
          </cell>
          <cell r="V31">
            <v>0.712800346306782</v>
          </cell>
          <cell r="W31">
            <v>137.32197</v>
          </cell>
          <cell r="X31">
            <v>131.767525</v>
          </cell>
          <cell r="Y31">
            <v>0.959551665330755</v>
          </cell>
        </row>
        <row r="32">
          <cell r="A32" t="str">
            <v>滨湖</v>
          </cell>
          <cell r="B32" t="str">
            <v>滨湖自建</v>
          </cell>
          <cell r="C32">
            <v>2514.763192</v>
          </cell>
          <cell r="D32">
            <v>2051.11688</v>
          </cell>
          <cell r="E32">
            <v>0.815630229727014</v>
          </cell>
          <cell r="F32">
            <v>949.106929</v>
          </cell>
          <cell r="G32">
            <v>920.729589</v>
          </cell>
          <cell r="H32">
            <v>0.97010100850291</v>
          </cell>
          <cell r="I32">
            <v>391.746307</v>
          </cell>
          <cell r="J32">
            <v>344.78159</v>
          </cell>
          <cell r="K32">
            <v>0.880114461423627</v>
          </cell>
        </row>
        <row r="32">
          <cell r="O32" t="str">
            <v>滨湖</v>
          </cell>
          <cell r="P32" t="str">
            <v>滨湖外拓</v>
          </cell>
          <cell r="Q32">
            <v>1996.144259</v>
          </cell>
          <cell r="R32">
            <v>871.653704</v>
          </cell>
          <cell r="S32">
            <v>0.436668692690912</v>
          </cell>
          <cell r="T32">
            <v>429.895659</v>
          </cell>
          <cell r="U32">
            <v>386.674953</v>
          </cell>
          <cell r="V32">
            <v>0.899462334417292</v>
          </cell>
          <cell r="W32">
            <v>163.934472</v>
          </cell>
          <cell r="X32">
            <v>160.546029</v>
          </cell>
          <cell r="Y32">
            <v>0.979330503470923</v>
          </cell>
        </row>
        <row r="33">
          <cell r="A33" t="str">
            <v>阜阳</v>
          </cell>
          <cell r="B33" t="str">
            <v>阜阳自建</v>
          </cell>
          <cell r="C33">
            <v>851.277401</v>
          </cell>
          <cell r="D33">
            <v>643.963491</v>
          </cell>
          <cell r="E33">
            <v>0.756467269357242</v>
          </cell>
          <cell r="F33">
            <v>32.198583</v>
          </cell>
          <cell r="G33">
            <v>25.287683</v>
          </cell>
          <cell r="H33">
            <v>0.785366331182959</v>
          </cell>
          <cell r="I33">
            <v>134.770373</v>
          </cell>
          <cell r="J33">
            <v>109.118945</v>
          </cell>
          <cell r="K33">
            <v>0.809665674814152</v>
          </cell>
        </row>
        <row r="33">
          <cell r="O33" t="str">
            <v>阜阳</v>
          </cell>
          <cell r="P33" t="str">
            <v>阜阳外拓</v>
          </cell>
          <cell r="Q33">
            <v>1166.328406</v>
          </cell>
          <cell r="R33">
            <v>748.718538</v>
          </cell>
          <cell r="S33">
            <v>0.641944870885705</v>
          </cell>
          <cell r="T33">
            <v>24.571322</v>
          </cell>
          <cell r="U33">
            <v>24.571322</v>
          </cell>
          <cell r="V33">
            <v>1</v>
          </cell>
          <cell r="W33">
            <v>67.697682</v>
          </cell>
          <cell r="X33">
            <v>65.227095</v>
          </cell>
          <cell r="Y33">
            <v>0.963505589452826</v>
          </cell>
        </row>
        <row r="34">
          <cell r="A34" t="str">
            <v>贵阳</v>
          </cell>
          <cell r="B34" t="str">
            <v>贵阳自建</v>
          </cell>
          <cell r="C34">
            <v>4290.541275</v>
          </cell>
          <cell r="D34">
            <v>3323.570969</v>
          </cell>
          <cell r="E34">
            <v>0.774627431826769</v>
          </cell>
          <cell r="F34">
            <v>1798.610426</v>
          </cell>
          <cell r="G34">
            <v>1753.259681</v>
          </cell>
          <cell r="H34">
            <v>0.974785676573188</v>
          </cell>
          <cell r="I34">
            <v>562.83894</v>
          </cell>
          <cell r="J34">
            <v>501.564836</v>
          </cell>
          <cell r="K34">
            <v>0.891133857938116</v>
          </cell>
        </row>
        <row r="34">
          <cell r="O34" t="str">
            <v>贵阳</v>
          </cell>
          <cell r="P34" t="str">
            <v>贵阳外拓</v>
          </cell>
          <cell r="Q34">
            <v>2771.732578</v>
          </cell>
          <cell r="R34">
            <v>1127.17371</v>
          </cell>
          <cell r="S34">
            <v>0.406667554780243</v>
          </cell>
          <cell r="T34">
            <v>81.625947</v>
          </cell>
          <cell r="U34">
            <v>73.864971</v>
          </cell>
          <cell r="V34">
            <v>0.904920233268473</v>
          </cell>
          <cell r="W34">
            <v>146.229119</v>
          </cell>
          <cell r="X34">
            <v>128.770489</v>
          </cell>
          <cell r="Y34">
            <v>0.880607705774388</v>
          </cell>
        </row>
        <row r="35">
          <cell r="A35" t="str">
            <v>昆明</v>
          </cell>
          <cell r="B35" t="str">
            <v>昆明自建</v>
          </cell>
          <cell r="C35">
            <v>2277.012696</v>
          </cell>
          <cell r="D35">
            <v>2048.992364</v>
          </cell>
          <cell r="E35">
            <v>0.899859876758456</v>
          </cell>
          <cell r="F35">
            <v>662.305944</v>
          </cell>
          <cell r="G35">
            <v>632.499478</v>
          </cell>
          <cell r="H35">
            <v>0.954995925568803</v>
          </cell>
          <cell r="I35">
            <v>1211.157958</v>
          </cell>
          <cell r="J35">
            <v>1095.297514</v>
          </cell>
          <cell r="K35">
            <v>0.904339113461863</v>
          </cell>
        </row>
        <row r="35">
          <cell r="O35" t="str">
            <v>昆明</v>
          </cell>
          <cell r="P35" t="str">
            <v>昆明外拓</v>
          </cell>
          <cell r="Q35">
            <v>1518.980664</v>
          </cell>
          <cell r="R35">
            <v>881.466372</v>
          </cell>
          <cell r="S35">
            <v>0.580301246020338</v>
          </cell>
          <cell r="T35">
            <v>40.73807</v>
          </cell>
          <cell r="U35">
            <v>37.698485</v>
          </cell>
          <cell r="V35">
            <v>0.925387113331584</v>
          </cell>
          <cell r="W35">
            <v>142.936362</v>
          </cell>
          <cell r="X35">
            <v>79.093672</v>
          </cell>
          <cell r="Y35">
            <v>0.553348853247014</v>
          </cell>
        </row>
        <row r="36">
          <cell r="A36" t="str">
            <v>连江</v>
          </cell>
          <cell r="B36" t="str">
            <v>连江自建</v>
          </cell>
          <cell r="C36">
            <v>3371.718403</v>
          </cell>
          <cell r="D36">
            <v>2046.912927</v>
          </cell>
          <cell r="E36">
            <v>0.607083001112653</v>
          </cell>
          <cell r="F36">
            <v>894.114863</v>
          </cell>
          <cell r="G36">
            <v>599.975265</v>
          </cell>
          <cell r="H36">
            <v>0.671027056844709</v>
          </cell>
          <cell r="I36">
            <v>341.090308</v>
          </cell>
          <cell r="J36">
            <v>326.634334</v>
          </cell>
          <cell r="K36">
            <v>0.957618338425494</v>
          </cell>
        </row>
        <row r="36">
          <cell r="O36" t="str">
            <v>连江</v>
          </cell>
          <cell r="P36" t="str">
            <v>连江外拓</v>
          </cell>
          <cell r="Q36">
            <v>519.33281</v>
          </cell>
          <cell r="R36">
            <v>337.444698</v>
          </cell>
          <cell r="S36">
            <v>0.649765798544482</v>
          </cell>
          <cell r="T36">
            <v>43.844571</v>
          </cell>
          <cell r="U36">
            <v>20.817237</v>
          </cell>
          <cell r="V36">
            <v>0.474796229617573</v>
          </cell>
          <cell r="W36">
            <v>60.504818</v>
          </cell>
          <cell r="X36">
            <v>45.158306</v>
          </cell>
          <cell r="Y36">
            <v>0.746358843687457</v>
          </cell>
        </row>
        <row r="37">
          <cell r="A37" t="str">
            <v>罗源</v>
          </cell>
          <cell r="B37" t="str">
            <v>罗源自建</v>
          </cell>
          <cell r="C37">
            <v>3377.503397</v>
          </cell>
          <cell r="D37">
            <v>2494.59693</v>
          </cell>
          <cell r="E37">
            <v>0.738591982532357</v>
          </cell>
          <cell r="F37">
            <v>1048.332372</v>
          </cell>
          <cell r="G37">
            <v>708.314433</v>
          </cell>
          <cell r="H37">
            <v>0.675658266327008</v>
          </cell>
          <cell r="I37">
            <v>501.83068</v>
          </cell>
          <cell r="J37">
            <v>488.467269</v>
          </cell>
          <cell r="K37">
            <v>0.973370677536097</v>
          </cell>
        </row>
        <row r="37">
          <cell r="O37" t="str">
            <v>罗源</v>
          </cell>
          <cell r="P37" t="str">
            <v>罗源外拓</v>
          </cell>
          <cell r="Q37">
            <v>411.853153</v>
          </cell>
          <cell r="R37">
            <v>261.273167</v>
          </cell>
          <cell r="S37">
            <v>0.634384282594044</v>
          </cell>
          <cell r="T37">
            <v>61.185107</v>
          </cell>
          <cell r="U37">
            <v>40.833833</v>
          </cell>
          <cell r="V37">
            <v>0.667381900631472</v>
          </cell>
          <cell r="W37">
            <v>21.023885</v>
          </cell>
          <cell r="X37">
            <v>18.604878</v>
          </cell>
          <cell r="Y37">
            <v>0.884940057463214</v>
          </cell>
        </row>
        <row r="38">
          <cell r="A38" t="str">
            <v>闽江</v>
          </cell>
          <cell r="B38" t="str">
            <v>福州自建</v>
          </cell>
          <cell r="C38">
            <v>2005.39888</v>
          </cell>
          <cell r="D38">
            <v>1489.735195</v>
          </cell>
          <cell r="E38">
            <v>0.742862285332482</v>
          </cell>
          <cell r="F38">
            <v>615.432678</v>
          </cell>
          <cell r="G38">
            <v>463.460425</v>
          </cell>
          <cell r="H38">
            <v>0.753064374979452</v>
          </cell>
          <cell r="I38">
            <v>188.221196</v>
          </cell>
          <cell r="J38">
            <v>169.491573</v>
          </cell>
          <cell r="K38">
            <v>0.900491424993389</v>
          </cell>
        </row>
        <row r="38">
          <cell r="O38" t="str">
            <v>闽江</v>
          </cell>
          <cell r="P38" t="str">
            <v>福州外拓</v>
          </cell>
          <cell r="Q38">
            <v>812.510525</v>
          </cell>
          <cell r="R38">
            <v>448.317067</v>
          </cell>
          <cell r="S38">
            <v>0.551767704178355</v>
          </cell>
          <cell r="T38">
            <v>99.667296</v>
          </cell>
          <cell r="U38">
            <v>65.845482</v>
          </cell>
          <cell r="V38">
            <v>0.660652838419535</v>
          </cell>
          <cell r="W38">
            <v>102.680345</v>
          </cell>
          <cell r="X38">
            <v>89.649156</v>
          </cell>
          <cell r="Y38">
            <v>0.873089742735087</v>
          </cell>
        </row>
        <row r="39">
          <cell r="A39" t="str">
            <v>宁波</v>
          </cell>
          <cell r="B39" t="str">
            <v>宁波自建</v>
          </cell>
          <cell r="C39">
            <v>5529.144758</v>
          </cell>
          <cell r="D39">
            <v>3555.131411</v>
          </cell>
          <cell r="E39">
            <v>0.642980346256292</v>
          </cell>
          <cell r="F39">
            <v>466.484414</v>
          </cell>
          <cell r="G39">
            <v>446.780339</v>
          </cell>
          <cell r="H39">
            <v>0.957760485862664</v>
          </cell>
          <cell r="I39">
            <v>832.774067</v>
          </cell>
          <cell r="J39">
            <v>699.325513</v>
          </cell>
          <cell r="K39">
            <v>0.839754191096827</v>
          </cell>
        </row>
        <row r="39">
          <cell r="O39" t="str">
            <v>宁波</v>
          </cell>
          <cell r="P39" t="str">
            <v>宁波外拓</v>
          </cell>
          <cell r="Q39">
            <v>95.023644</v>
          </cell>
          <cell r="R39">
            <v>53.575039</v>
          </cell>
          <cell r="S39">
            <v>0.56380745617375</v>
          </cell>
          <cell r="T39">
            <v>0.05448</v>
          </cell>
          <cell r="U39">
            <v>0.05448</v>
          </cell>
          <cell r="V39">
            <v>1</v>
          </cell>
          <cell r="W39">
            <v>0</v>
          </cell>
          <cell r="X39">
            <v>0</v>
          </cell>
          <cell r="Y39" t="e">
            <v>#DIV/0!</v>
          </cell>
        </row>
        <row r="40">
          <cell r="A40" t="str">
            <v>腾冲</v>
          </cell>
          <cell r="B40" t="str">
            <v>腾冲自建</v>
          </cell>
          <cell r="C40">
            <v>906.183611</v>
          </cell>
          <cell r="D40">
            <v>546.735952</v>
          </cell>
          <cell r="E40">
            <v>0.603339042290404</v>
          </cell>
          <cell r="F40">
            <v>457.543279</v>
          </cell>
          <cell r="G40">
            <v>414.438511</v>
          </cell>
          <cell r="H40">
            <v>0.905790839952432</v>
          </cell>
          <cell r="I40">
            <v>240.371023</v>
          </cell>
          <cell r="J40">
            <v>239.452123</v>
          </cell>
          <cell r="K40">
            <v>0.996177159840103</v>
          </cell>
        </row>
        <row r="40">
          <cell r="O40" t="str">
            <v>腾冲</v>
          </cell>
          <cell r="P40" t="str">
            <v>腾冲外拓</v>
          </cell>
          <cell r="Q40">
            <v>576.079882</v>
          </cell>
          <cell r="R40">
            <v>353.007559</v>
          </cell>
          <cell r="S40">
            <v>0.612775363330601</v>
          </cell>
          <cell r="T40">
            <v>0</v>
          </cell>
          <cell r="U40">
            <v>0</v>
          </cell>
          <cell r="V40" t="e">
            <v>#DIV/0!</v>
          </cell>
          <cell r="W40">
            <v>22.016481</v>
          </cell>
          <cell r="X40">
            <v>22.016481</v>
          </cell>
          <cell r="Y40">
            <v>1</v>
          </cell>
        </row>
        <row r="41">
          <cell r="A41" t="str">
            <v>长沙</v>
          </cell>
          <cell r="B41" t="str">
            <v>长沙自建</v>
          </cell>
          <cell r="C41">
            <v>2417.610251</v>
          </cell>
          <cell r="D41">
            <v>1681.683904</v>
          </cell>
          <cell r="E41">
            <v>0.695597606481195</v>
          </cell>
          <cell r="F41">
            <v>754.663517</v>
          </cell>
          <cell r="G41">
            <v>718.621156</v>
          </cell>
          <cell r="H41">
            <v>0.952240488392392</v>
          </cell>
          <cell r="I41">
            <v>256.117287</v>
          </cell>
          <cell r="J41">
            <v>219.55859</v>
          </cell>
          <cell r="K41">
            <v>0.85725798743136</v>
          </cell>
        </row>
        <row r="41">
          <cell r="O41" t="str">
            <v>长沙</v>
          </cell>
          <cell r="P41" t="str">
            <v>长沙外拓</v>
          </cell>
          <cell r="Q41">
            <v>945.112839</v>
          </cell>
          <cell r="R41">
            <v>427.057861</v>
          </cell>
          <cell r="S41">
            <v>0.45185912557474</v>
          </cell>
          <cell r="T41">
            <v>75.891009</v>
          </cell>
          <cell r="U41">
            <v>38.654907</v>
          </cell>
          <cell r="V41">
            <v>0.509347648810414</v>
          </cell>
          <cell r="W41">
            <v>13.968861</v>
          </cell>
          <cell r="X41">
            <v>10.459077</v>
          </cell>
          <cell r="Y41">
            <v>0.748742291873332</v>
          </cell>
        </row>
        <row r="42">
          <cell r="A42" t="str">
            <v>广州</v>
          </cell>
          <cell r="B42" t="str">
            <v>广州自建</v>
          </cell>
          <cell r="C42">
            <v>76.986661</v>
          </cell>
          <cell r="D42">
            <v>47.22046</v>
          </cell>
          <cell r="E42">
            <v>0.613358981759191</v>
          </cell>
          <cell r="F42">
            <v>5.791917</v>
          </cell>
          <cell r="G42">
            <v>5.791917</v>
          </cell>
          <cell r="H42">
            <v>1</v>
          </cell>
          <cell r="I42">
            <v>566.265505</v>
          </cell>
          <cell r="J42">
            <v>332.080737</v>
          </cell>
          <cell r="K42">
            <v>0.586439989841868</v>
          </cell>
        </row>
        <row r="42">
          <cell r="O42" t="str">
            <v>广州</v>
          </cell>
          <cell r="P42" t="str">
            <v>广州外拓</v>
          </cell>
          <cell r="Q42">
            <v>0</v>
          </cell>
          <cell r="R42">
            <v>0</v>
          </cell>
          <cell r="S42" t="e">
            <v>#DIV/0!</v>
          </cell>
          <cell r="T42">
            <v>0</v>
          </cell>
          <cell r="U42">
            <v>0</v>
          </cell>
          <cell r="V42" t="e">
            <v>#DIV/0!</v>
          </cell>
          <cell r="W42">
            <v>0</v>
          </cell>
          <cell r="X42">
            <v>0</v>
          </cell>
          <cell r="Y42" t="e">
            <v>#DIV/0!</v>
          </cell>
        </row>
      </sheetData>
      <sheetData sheetId="5">
        <row r="2">
          <cell r="AD2" t="str">
            <v>公司</v>
          </cell>
          <cell r="AE2" t="str">
            <v>直收</v>
          </cell>
        </row>
        <row r="2">
          <cell r="AH2" t="str">
            <v>代收</v>
          </cell>
        </row>
        <row r="2">
          <cell r="AK2" t="str">
            <v>其他</v>
          </cell>
        </row>
        <row r="2">
          <cell r="AN2" t="str">
            <v>合计</v>
          </cell>
        </row>
        <row r="3">
          <cell r="AE3" t="str">
            <v>应收</v>
          </cell>
          <cell r="AF3" t="str">
            <v>回款</v>
          </cell>
          <cell r="AG3" t="str">
            <v>收费率</v>
          </cell>
          <cell r="AH3" t="str">
            <v>应收</v>
          </cell>
          <cell r="AI3" t="str">
            <v>回款</v>
          </cell>
          <cell r="AJ3" t="str">
            <v>收费率</v>
          </cell>
          <cell r="AK3" t="str">
            <v>应收</v>
          </cell>
          <cell r="AL3" t="str">
            <v>回款</v>
          </cell>
          <cell r="AM3" t="str">
            <v>收费率</v>
          </cell>
          <cell r="AN3" t="str">
            <v>应收</v>
          </cell>
          <cell r="AO3" t="str">
            <v>回款</v>
          </cell>
          <cell r="AP3" t="str">
            <v>收费率</v>
          </cell>
        </row>
        <row r="4">
          <cell r="AC4" t="str">
            <v>版纳</v>
          </cell>
          <cell r="AD4" t="str">
            <v>版纳</v>
          </cell>
          <cell r="AE4">
            <v>1732.502669</v>
          </cell>
          <cell r="AF4">
            <v>804.106295</v>
          </cell>
          <cell r="AG4">
            <v>0.464129902590066</v>
          </cell>
          <cell r="AH4">
            <v>327.494137</v>
          </cell>
          <cell r="AI4">
            <v>213.908347</v>
          </cell>
          <cell r="AJ4">
            <v>0.653166951199496</v>
          </cell>
          <cell r="AK4">
            <v>465.058898</v>
          </cell>
          <cell r="AL4">
            <v>209.273088</v>
          </cell>
          <cell r="AM4">
            <v>0.449992654478788</v>
          </cell>
          <cell r="AN4">
            <v>2525.055704</v>
          </cell>
          <cell r="AO4">
            <v>1227.28773</v>
          </cell>
          <cell r="AP4">
            <v>0.486043823926666</v>
          </cell>
        </row>
        <row r="5">
          <cell r="AC5" t="str">
            <v>北城</v>
          </cell>
          <cell r="AD5" t="str">
            <v>北城</v>
          </cell>
          <cell r="AE5">
            <v>6299.654714</v>
          </cell>
          <cell r="AF5">
            <v>4147.103859</v>
          </cell>
          <cell r="AG5">
            <v>0.658306533814259</v>
          </cell>
          <cell r="AH5">
            <v>2137.912459</v>
          </cell>
          <cell r="AI5">
            <v>2055.534332</v>
          </cell>
          <cell r="AJ5">
            <v>0.961467960648617</v>
          </cell>
          <cell r="AK5">
            <v>857.148485</v>
          </cell>
          <cell r="AL5">
            <v>699.390435</v>
          </cell>
          <cell r="AM5">
            <v>0.815950150107306</v>
          </cell>
          <cell r="AN5">
            <v>9294.715658</v>
          </cell>
          <cell r="AO5">
            <v>6902.028626</v>
          </cell>
          <cell r="AP5">
            <v>0.742575553675964</v>
          </cell>
        </row>
        <row r="6">
          <cell r="AC6" t="str">
            <v>北京</v>
          </cell>
          <cell r="AD6" t="str">
            <v>北京</v>
          </cell>
          <cell r="AE6">
            <v>12259.744263</v>
          </cell>
          <cell r="AF6">
            <v>9206.343081</v>
          </cell>
          <cell r="AG6">
            <v>0.750940874744411</v>
          </cell>
          <cell r="AH6">
            <v>1297.782299</v>
          </cell>
          <cell r="AI6">
            <v>1249.047335</v>
          </cell>
          <cell r="AJ6">
            <v>0.962447504456215</v>
          </cell>
          <cell r="AK6">
            <v>891.824574</v>
          </cell>
          <cell r="AL6">
            <v>849.302265</v>
          </cell>
          <cell r="AM6">
            <v>0.952319872943981</v>
          </cell>
          <cell r="AN6">
            <v>14449.351136</v>
          </cell>
          <cell r="AO6">
            <v>11304.692681</v>
          </cell>
          <cell r="AP6">
            <v>0.782366804889584</v>
          </cell>
        </row>
        <row r="7">
          <cell r="AC7" t="str">
            <v>滨湖</v>
          </cell>
          <cell r="AD7" t="str">
            <v>滨湖</v>
          </cell>
          <cell r="AE7">
            <v>4088.694402</v>
          </cell>
          <cell r="AF7">
            <v>2835.625969</v>
          </cell>
          <cell r="AG7">
            <v>0.693528469042084</v>
          </cell>
          <cell r="AH7">
            <v>1307.274721</v>
          </cell>
          <cell r="AI7">
            <v>1240.242584</v>
          </cell>
          <cell r="AJ7">
            <v>0.948723756435278</v>
          </cell>
          <cell r="AK7">
            <v>607.85009</v>
          </cell>
          <cell r="AL7">
            <v>553.483194</v>
          </cell>
          <cell r="AM7">
            <v>0.910558710289901</v>
          </cell>
          <cell r="AN7">
            <v>6003.819213</v>
          </cell>
          <cell r="AO7">
            <v>4629.351747</v>
          </cell>
          <cell r="AP7">
            <v>0.771067812464459</v>
          </cell>
        </row>
        <row r="8">
          <cell r="AC8" t="str">
            <v>阜阳</v>
          </cell>
          <cell r="AD8" t="str">
            <v>阜阳</v>
          </cell>
          <cell r="AE8">
            <v>1259.335276</v>
          </cell>
          <cell r="AF8">
            <v>857.984975</v>
          </cell>
          <cell r="AG8">
            <v>0.681299882049838</v>
          </cell>
          <cell r="AH8">
            <v>133.762542</v>
          </cell>
          <cell r="AI8">
            <v>124.572433</v>
          </cell>
          <cell r="AJ8">
            <v>0.931295347243027</v>
          </cell>
          <cell r="AK8">
            <v>172.855262</v>
          </cell>
          <cell r="AL8">
            <v>140.032142</v>
          </cell>
          <cell r="AM8">
            <v>0.810112115649682</v>
          </cell>
          <cell r="AN8">
            <v>1565.95308</v>
          </cell>
          <cell r="AO8">
            <v>1122.58955</v>
          </cell>
          <cell r="AP8">
            <v>0.716873043220427</v>
          </cell>
        </row>
        <row r="9">
          <cell r="AC9" t="str">
            <v>贵阳</v>
          </cell>
          <cell r="AD9" t="str">
            <v>贵阳</v>
          </cell>
          <cell r="AE9">
            <v>8165.46766</v>
          </cell>
          <cell r="AF9">
            <v>5292.733375</v>
          </cell>
          <cell r="AG9">
            <v>0.648184965685113</v>
          </cell>
          <cell r="AH9">
            <v>2029.942227</v>
          </cell>
          <cell r="AI9">
            <v>1946.798124</v>
          </cell>
          <cell r="AJ9">
            <v>0.95904114812032</v>
          </cell>
          <cell r="AK9">
            <v>855.109734</v>
          </cell>
          <cell r="AL9">
            <v>698.229061</v>
          </cell>
          <cell r="AM9">
            <v>0.816537379049412</v>
          </cell>
          <cell r="AN9">
            <v>11050.519621</v>
          </cell>
          <cell r="AO9">
            <v>7937.76056</v>
          </cell>
          <cell r="AP9">
            <v>0.718315593496198</v>
          </cell>
        </row>
        <row r="10">
          <cell r="AC10" t="str">
            <v>昆明</v>
          </cell>
          <cell r="AD10" t="str">
            <v>昆明</v>
          </cell>
          <cell r="AE10">
            <v>4097.766786</v>
          </cell>
          <cell r="AF10">
            <v>3053.348061</v>
          </cell>
          <cell r="AG10">
            <v>0.745124898623257</v>
          </cell>
          <cell r="AH10">
            <v>754.966286</v>
          </cell>
          <cell r="AI10">
            <v>732.963198</v>
          </cell>
          <cell r="AJ10">
            <v>0.970855535660304</v>
          </cell>
          <cell r="AK10">
            <v>1385.821449</v>
          </cell>
          <cell r="AL10">
            <v>1189.107323</v>
          </cell>
          <cell r="AM10">
            <v>0.85805232979909</v>
          </cell>
          <cell r="AN10">
            <v>6238.554521</v>
          </cell>
          <cell r="AO10">
            <v>4975.418582</v>
          </cell>
          <cell r="AP10">
            <v>0.797527466539232</v>
          </cell>
        </row>
        <row r="11">
          <cell r="AC11" t="str">
            <v>连江</v>
          </cell>
          <cell r="AD11" t="str">
            <v>连江</v>
          </cell>
          <cell r="AE11">
            <v>3739.057851</v>
          </cell>
          <cell r="AF11">
            <v>2316.291288</v>
          </cell>
          <cell r="AG11">
            <v>0.619485276854038</v>
          </cell>
          <cell r="AH11">
            <v>931.655336</v>
          </cell>
          <cell r="AI11">
            <v>570.159599</v>
          </cell>
          <cell r="AJ11">
            <v>0.611985545478591</v>
          </cell>
          <cell r="AK11">
            <v>369.196715</v>
          </cell>
          <cell r="AL11">
            <v>340.710505</v>
          </cell>
          <cell r="AM11">
            <v>0.922842731685736</v>
          </cell>
          <cell r="AN11">
            <v>5039.909902</v>
          </cell>
          <cell r="AO11">
            <v>3227.161392</v>
          </cell>
          <cell r="AP11">
            <v>0.640321246758669</v>
          </cell>
        </row>
        <row r="12">
          <cell r="AC12" t="str">
            <v>罗源</v>
          </cell>
          <cell r="AD12" t="str">
            <v>罗源</v>
          </cell>
          <cell r="AE12">
            <v>3890.880954</v>
          </cell>
          <cell r="AF12">
            <v>2696.211311</v>
          </cell>
          <cell r="AG12">
            <v>0.692956516242979</v>
          </cell>
          <cell r="AH12">
            <v>1037.445842</v>
          </cell>
          <cell r="AI12">
            <v>621.635584</v>
          </cell>
          <cell r="AJ12">
            <v>0.599198106381731</v>
          </cell>
          <cell r="AK12">
            <v>510.993811</v>
          </cell>
          <cell r="AL12">
            <v>504.158354</v>
          </cell>
          <cell r="AM12">
            <v>0.986623209806351</v>
          </cell>
          <cell r="AN12">
            <v>5439.320607</v>
          </cell>
          <cell r="AO12">
            <v>3822.005249</v>
          </cell>
          <cell r="AP12">
            <v>0.702662248678882</v>
          </cell>
        </row>
        <row r="13">
          <cell r="AC13" t="str">
            <v>闽江</v>
          </cell>
          <cell r="AD13" t="str">
            <v>福州</v>
          </cell>
          <cell r="AE13">
            <v>2705.645058</v>
          </cell>
          <cell r="AF13">
            <v>1913.384415</v>
          </cell>
          <cell r="AG13">
            <v>0.707182344314729</v>
          </cell>
          <cell r="AH13">
            <v>699.643767</v>
          </cell>
          <cell r="AI13">
            <v>517.869947</v>
          </cell>
          <cell r="AJ13">
            <v>0.740190896319384</v>
          </cell>
          <cell r="AK13">
            <v>306.47217</v>
          </cell>
          <cell r="AL13">
            <v>278.539511</v>
          </cell>
          <cell r="AM13">
            <v>0.90885743720221</v>
          </cell>
          <cell r="AN13">
            <v>3711.760995</v>
          </cell>
          <cell r="AO13">
            <v>2709.793873</v>
          </cell>
          <cell r="AP13">
            <v>0.730056131483218</v>
          </cell>
        </row>
        <row r="14">
          <cell r="AC14" t="str">
            <v>宁波</v>
          </cell>
          <cell r="AD14" t="str">
            <v>宁波</v>
          </cell>
          <cell r="AE14">
            <v>5898.656167</v>
          </cell>
          <cell r="AF14">
            <v>4024.695966</v>
          </cell>
          <cell r="AG14">
            <v>0.682307266613731</v>
          </cell>
          <cell r="AH14">
            <v>535.411476</v>
          </cell>
          <cell r="AI14">
            <v>496.441591</v>
          </cell>
          <cell r="AJ14">
            <v>0.927215073365368</v>
          </cell>
          <cell r="AK14">
            <v>1038.215253</v>
          </cell>
          <cell r="AL14">
            <v>807.325145</v>
          </cell>
          <cell r="AM14">
            <v>0.777608634305048</v>
          </cell>
          <cell r="AN14">
            <v>7472.282896</v>
          </cell>
          <cell r="AO14">
            <v>5328.462702</v>
          </cell>
          <cell r="AP14">
            <v>0.713097024853327</v>
          </cell>
        </row>
        <row r="15">
          <cell r="AC15" t="str">
            <v>腾冲</v>
          </cell>
          <cell r="AD15" t="str">
            <v>腾冲</v>
          </cell>
          <cell r="AE15">
            <v>1325.95961</v>
          </cell>
          <cell r="AF15">
            <v>887.012105</v>
          </cell>
          <cell r="AG15">
            <v>0.668958615564467</v>
          </cell>
          <cell r="AH15">
            <v>470.977301</v>
          </cell>
          <cell r="AI15">
            <v>409.165208</v>
          </cell>
          <cell r="AJ15">
            <v>0.868757808776011</v>
          </cell>
          <cell r="AK15">
            <v>311.921632</v>
          </cell>
          <cell r="AL15">
            <v>304.439071</v>
          </cell>
          <cell r="AM15">
            <v>0.976011407249882</v>
          </cell>
          <cell r="AN15">
            <v>2108.858543</v>
          </cell>
          <cell r="AO15">
            <v>1600.616384</v>
          </cell>
          <cell r="AP15">
            <v>0.758996562056273</v>
          </cell>
        </row>
        <row r="16">
          <cell r="AC16" t="str">
            <v>长沙</v>
          </cell>
          <cell r="AD16" t="str">
            <v>长沙</v>
          </cell>
          <cell r="AE16">
            <v>3005.758056</v>
          </cell>
          <cell r="AF16">
            <v>1888.258133</v>
          </cell>
          <cell r="AG16">
            <v>0.62821361460904</v>
          </cell>
          <cell r="AH16">
            <v>1025.635384</v>
          </cell>
          <cell r="AI16">
            <v>690.184389</v>
          </cell>
          <cell r="AJ16">
            <v>0.672933480812905</v>
          </cell>
          <cell r="AK16">
            <v>297.909702</v>
          </cell>
          <cell r="AL16">
            <v>204.812134</v>
          </cell>
          <cell r="AM16">
            <v>0.687497361197052</v>
          </cell>
          <cell r="AN16">
            <v>4329.303142</v>
          </cell>
          <cell r="AO16">
            <v>2783.254656</v>
          </cell>
          <cell r="AP16">
            <v>0.642887449714188</v>
          </cell>
        </row>
        <row r="17">
          <cell r="AC17" t="str">
            <v>广州</v>
          </cell>
          <cell r="AD17" t="str">
            <v>广州</v>
          </cell>
          <cell r="AE17">
            <v>0</v>
          </cell>
          <cell r="AF17">
            <v>0</v>
          </cell>
          <cell r="AG17" t="e">
            <v>#DIV/0!</v>
          </cell>
          <cell r="AH17">
            <v>4.68804</v>
          </cell>
          <cell r="AI17">
            <v>4.68804</v>
          </cell>
          <cell r="AJ17">
            <v>1</v>
          </cell>
          <cell r="AK17">
            <v>593.2435281</v>
          </cell>
          <cell r="AL17">
            <v>83.209244</v>
          </cell>
          <cell r="AM17">
            <v>0.140261528459479</v>
          </cell>
          <cell r="AN17">
            <v>597.9315681</v>
          </cell>
          <cell r="AO17">
            <v>87.897284</v>
          </cell>
          <cell r="AP17">
            <v>0.147002246894748</v>
          </cell>
        </row>
        <row r="26">
          <cell r="AD26" t="str">
            <v>公司</v>
          </cell>
          <cell r="AE26" t="str">
            <v>直收</v>
          </cell>
        </row>
        <row r="26">
          <cell r="AH26" t="str">
            <v>代收</v>
          </cell>
        </row>
        <row r="26">
          <cell r="AK26" t="str">
            <v>其他</v>
          </cell>
        </row>
        <row r="26">
          <cell r="AN26" t="str">
            <v>合计</v>
          </cell>
        </row>
        <row r="27">
          <cell r="AE27" t="str">
            <v>应收</v>
          </cell>
          <cell r="AF27" t="str">
            <v>回款</v>
          </cell>
          <cell r="AG27" t="str">
            <v>收费率</v>
          </cell>
          <cell r="AH27" t="str">
            <v>应收</v>
          </cell>
          <cell r="AI27" t="str">
            <v>回款</v>
          </cell>
          <cell r="AJ27" t="str">
            <v>收费率</v>
          </cell>
          <cell r="AK27" t="str">
            <v>应收</v>
          </cell>
          <cell r="AL27" t="str">
            <v>回款</v>
          </cell>
          <cell r="AM27" t="str">
            <v>收费率</v>
          </cell>
          <cell r="AN27" t="str">
            <v>应收</v>
          </cell>
          <cell r="AO27" t="str">
            <v>回款</v>
          </cell>
          <cell r="AP27" t="str">
            <v>收费率</v>
          </cell>
        </row>
        <row r="28">
          <cell r="AC28" t="str">
            <v>版纳</v>
          </cell>
          <cell r="AD28" t="str">
            <v>版纳</v>
          </cell>
          <cell r="AE28">
            <v>1070.379408</v>
          </cell>
          <cell r="AF28">
            <v>185.254664</v>
          </cell>
          <cell r="AG28">
            <v>0.173073830284299</v>
          </cell>
          <cell r="AH28">
            <v>87.089881</v>
          </cell>
          <cell r="AI28">
            <v>26.437638</v>
          </cell>
          <cell r="AJ28">
            <v>0.303567276662142</v>
          </cell>
          <cell r="AK28">
            <v>710.297631</v>
          </cell>
          <cell r="AL28">
            <v>129.097126</v>
          </cell>
          <cell r="AM28">
            <v>0.181750748370439</v>
          </cell>
          <cell r="AN28">
            <v>1867.76692</v>
          </cell>
          <cell r="AO28">
            <v>340.789428</v>
          </cell>
          <cell r="AP28">
            <v>0.182458220215186</v>
          </cell>
        </row>
        <row r="29">
          <cell r="AC29" t="str">
            <v>北城</v>
          </cell>
          <cell r="AD29" t="str">
            <v>北城</v>
          </cell>
          <cell r="AE29">
            <v>3330.380003</v>
          </cell>
          <cell r="AF29">
            <v>1006.350841</v>
          </cell>
          <cell r="AG29">
            <v>0.30217297728592</v>
          </cell>
          <cell r="AH29">
            <v>74.728522</v>
          </cell>
          <cell r="AI29">
            <v>61.018767</v>
          </cell>
          <cell r="AJ29">
            <v>0.816539192358174</v>
          </cell>
          <cell r="AK29">
            <v>347.969399</v>
          </cell>
          <cell r="AL29">
            <v>52.27998</v>
          </cell>
          <cell r="AM29">
            <v>0.150243039043787</v>
          </cell>
          <cell r="AN29">
            <v>3753.077924</v>
          </cell>
          <cell r="AO29">
            <v>1119.649588</v>
          </cell>
          <cell r="AP29">
            <v>0.298328361593592</v>
          </cell>
        </row>
        <row r="30">
          <cell r="AC30" t="str">
            <v>北京</v>
          </cell>
          <cell r="AD30" t="str">
            <v>北京</v>
          </cell>
          <cell r="AE30">
            <v>4527.761311</v>
          </cell>
          <cell r="AF30">
            <v>1142.029893</v>
          </cell>
          <cell r="AG30">
            <v>0.252228378343507</v>
          </cell>
          <cell r="AH30">
            <v>178.193435</v>
          </cell>
          <cell r="AI30">
            <v>74.098147</v>
          </cell>
          <cell r="AJ30">
            <v>0.415829836828725</v>
          </cell>
          <cell r="AK30">
            <v>624.639087</v>
          </cell>
          <cell r="AL30">
            <v>285.053883</v>
          </cell>
          <cell r="AM30">
            <v>0.456349736884141</v>
          </cell>
          <cell r="AN30">
            <v>5330.593833</v>
          </cell>
          <cell r="AO30">
            <v>1501.181923</v>
          </cell>
          <cell r="AP30">
            <v>0.281616264534481</v>
          </cell>
        </row>
        <row r="31">
          <cell r="AC31" t="str">
            <v>滨湖</v>
          </cell>
          <cell r="AD31" t="str">
            <v>滨湖</v>
          </cell>
          <cell r="AE31">
            <v>1324.169799</v>
          </cell>
          <cell r="AF31">
            <v>607.68098</v>
          </cell>
          <cell r="AG31">
            <v>0.458914695425703</v>
          </cell>
          <cell r="AH31">
            <v>38.623445</v>
          </cell>
          <cell r="AI31">
            <v>32.526727</v>
          </cell>
          <cell r="AJ31">
            <v>0.842149813409964</v>
          </cell>
          <cell r="AK31">
            <v>79.266469</v>
          </cell>
          <cell r="AL31">
            <v>30.334387</v>
          </cell>
          <cell r="AM31">
            <v>0.382688763391239</v>
          </cell>
          <cell r="AN31">
            <v>1442.059713</v>
          </cell>
          <cell r="AO31">
            <v>670.542094</v>
          </cell>
          <cell r="AP31">
            <v>0.464989131833544</v>
          </cell>
        </row>
        <row r="32">
          <cell r="AC32" t="str">
            <v>阜阳</v>
          </cell>
          <cell r="AD32" t="str">
            <v>阜阳</v>
          </cell>
          <cell r="AE32">
            <v>661.709266</v>
          </cell>
          <cell r="AF32">
            <v>276.629039</v>
          </cell>
          <cell r="AG32">
            <v>0.418052237158789</v>
          </cell>
          <cell r="AH32">
            <v>8.855742</v>
          </cell>
          <cell r="AI32">
            <v>6.161946</v>
          </cell>
          <cell r="AJ32">
            <v>0.695813631426932</v>
          </cell>
          <cell r="AK32">
            <v>103.10679</v>
          </cell>
          <cell r="AL32">
            <v>16.596384</v>
          </cell>
          <cell r="AM32">
            <v>0.160963055876339</v>
          </cell>
          <cell r="AN32">
            <v>773.671798</v>
          </cell>
          <cell r="AO32">
            <v>299.387369</v>
          </cell>
          <cell r="AP32">
            <v>0.386969474361013</v>
          </cell>
        </row>
        <row r="33">
          <cell r="AC33" t="str">
            <v>贵阳</v>
          </cell>
          <cell r="AD33" t="str">
            <v>贵阳</v>
          </cell>
          <cell r="AE33">
            <v>4119.4193</v>
          </cell>
          <cell r="AF33">
            <v>1262.002598</v>
          </cell>
          <cell r="AG33">
            <v>0.306354489818504</v>
          </cell>
          <cell r="AH33">
            <v>72.813333</v>
          </cell>
          <cell r="AI33">
            <v>22.468131</v>
          </cell>
          <cell r="AJ33">
            <v>0.308571659533838</v>
          </cell>
          <cell r="AK33">
            <v>268.50727</v>
          </cell>
          <cell r="AL33">
            <v>17.395306</v>
          </cell>
          <cell r="AM33">
            <v>0.0647852328169736</v>
          </cell>
          <cell r="AN33">
            <v>4460.739903</v>
          </cell>
          <cell r="AO33">
            <v>1301.866035</v>
          </cell>
          <cell r="AP33">
            <v>0.291849796964053</v>
          </cell>
        </row>
        <row r="34">
          <cell r="AC34" t="str">
            <v>昆明</v>
          </cell>
          <cell r="AD34" t="str">
            <v>昆明</v>
          </cell>
          <cell r="AE34">
            <v>2410.493083</v>
          </cell>
          <cell r="AF34">
            <v>309.446362</v>
          </cell>
          <cell r="AG34">
            <v>0.128374714776147</v>
          </cell>
          <cell r="AH34">
            <v>80.838702</v>
          </cell>
          <cell r="AI34">
            <v>19.951303</v>
          </cell>
          <cell r="AJ34">
            <v>0.246803851452241</v>
          </cell>
          <cell r="AK34">
            <v>453.31911</v>
          </cell>
          <cell r="AL34">
            <v>139.174469</v>
          </cell>
          <cell r="AM34">
            <v>0.307012137652878</v>
          </cell>
          <cell r="AN34">
            <v>2944.650895</v>
          </cell>
          <cell r="AO34">
            <v>468.572134</v>
          </cell>
          <cell r="AP34">
            <v>0.159126548683796</v>
          </cell>
        </row>
        <row r="35">
          <cell r="AC35" t="str">
            <v>连江</v>
          </cell>
          <cell r="AD35" t="str">
            <v>连江</v>
          </cell>
          <cell r="AE35">
            <v>2660.336312</v>
          </cell>
          <cell r="AF35">
            <v>740.143007</v>
          </cell>
          <cell r="AG35">
            <v>0.278214075288689</v>
          </cell>
          <cell r="AH35">
            <v>1487.628488</v>
          </cell>
          <cell r="AI35">
            <v>457.945506</v>
          </cell>
          <cell r="AJ35">
            <v>0.307835934639617</v>
          </cell>
          <cell r="AK35">
            <v>25.408029</v>
          </cell>
          <cell r="AL35">
            <v>10.199613</v>
          </cell>
          <cell r="AM35">
            <v>0.401432673112897</v>
          </cell>
          <cell r="AN35">
            <v>4173.372829</v>
          </cell>
          <cell r="AO35">
            <v>1208.288126</v>
          </cell>
          <cell r="AP35">
            <v>0.289523168791398</v>
          </cell>
        </row>
        <row r="36">
          <cell r="AC36" t="str">
            <v>罗源</v>
          </cell>
          <cell r="AD36" t="str">
            <v>罗源</v>
          </cell>
          <cell r="AE36">
            <v>1924.676587</v>
          </cell>
          <cell r="AF36">
            <v>723.323588</v>
          </cell>
          <cell r="AG36">
            <v>0.375815652814402</v>
          </cell>
          <cell r="AH36">
            <v>1049.988206</v>
          </cell>
          <cell r="AI36">
            <v>635.8099</v>
          </cell>
          <cell r="AJ36">
            <v>0.605540039751647</v>
          </cell>
          <cell r="AK36">
            <v>16.340488</v>
          </cell>
          <cell r="AL36">
            <v>12.247468</v>
          </cell>
          <cell r="AM36">
            <v>0.749516660701932</v>
          </cell>
          <cell r="AN36">
            <v>2991.005281</v>
          </cell>
          <cell r="AO36">
            <v>1371.380956</v>
          </cell>
          <cell r="AP36">
            <v>0.458501683267339</v>
          </cell>
        </row>
        <row r="37">
          <cell r="AC37" t="str">
            <v>闽江</v>
          </cell>
          <cell r="AD37" t="str">
            <v>福州</v>
          </cell>
          <cell r="AE37">
            <v>476.041429</v>
          </cell>
          <cell r="AF37">
            <v>189.481452</v>
          </cell>
          <cell r="AG37">
            <v>0.398035633995208</v>
          </cell>
          <cell r="AH37">
            <v>167.019952</v>
          </cell>
          <cell r="AI37">
            <v>96.24803</v>
          </cell>
          <cell r="AJ37">
            <v>0.576266660644232</v>
          </cell>
          <cell r="AK37">
            <v>38.156128</v>
          </cell>
          <cell r="AL37">
            <v>27.844464</v>
          </cell>
          <cell r="AM37">
            <v>0.729750775550391</v>
          </cell>
          <cell r="AN37">
            <v>681.217509</v>
          </cell>
          <cell r="AO37">
            <v>313.573946</v>
          </cell>
          <cell r="AP37">
            <v>0.46031398467769</v>
          </cell>
        </row>
        <row r="38">
          <cell r="AC38" t="str">
            <v>宁波</v>
          </cell>
          <cell r="AD38" t="str">
            <v>宁波</v>
          </cell>
          <cell r="AE38">
            <v>2498.898453</v>
          </cell>
          <cell r="AF38">
            <v>718.574042</v>
          </cell>
          <cell r="AG38">
            <v>0.28755631952044</v>
          </cell>
          <cell r="AH38">
            <v>70.367785</v>
          </cell>
          <cell r="AI38">
            <v>27.395449</v>
          </cell>
          <cell r="AJ38">
            <v>0.389318052287705</v>
          </cell>
          <cell r="AK38">
            <v>249.510354</v>
          </cell>
          <cell r="AL38">
            <v>130.486073</v>
          </cell>
          <cell r="AM38">
            <v>0.522968569873457</v>
          </cell>
          <cell r="AN38">
            <v>2818.776592</v>
          </cell>
          <cell r="AO38">
            <v>876.455564</v>
          </cell>
          <cell r="AP38">
            <v>0.31093473902383</v>
          </cell>
        </row>
        <row r="39">
          <cell r="AC39" t="str">
            <v>腾冲</v>
          </cell>
          <cell r="AD39" t="str">
            <v>腾冲</v>
          </cell>
          <cell r="AE39">
            <v>1194.323443</v>
          </cell>
          <cell r="AF39">
            <v>131.925937</v>
          </cell>
          <cell r="AG39">
            <v>0.110460811745115</v>
          </cell>
          <cell r="AH39">
            <v>54.672749</v>
          </cell>
          <cell r="AI39">
            <v>19.272287</v>
          </cell>
          <cell r="AJ39">
            <v>0.352502615151106</v>
          </cell>
          <cell r="AK39">
            <v>16.340448</v>
          </cell>
          <cell r="AL39">
            <v>1.968132</v>
          </cell>
          <cell r="AM39">
            <v>0.120445412512558</v>
          </cell>
          <cell r="AN39">
            <v>1265.33664</v>
          </cell>
          <cell r="AO39">
            <v>153.166356</v>
          </cell>
          <cell r="AP39">
            <v>0.121047910222532</v>
          </cell>
        </row>
        <row r="40">
          <cell r="AC40" t="str">
            <v>长沙</v>
          </cell>
          <cell r="AD40" t="str">
            <v>长沙</v>
          </cell>
          <cell r="AE40">
            <v>3503.774342</v>
          </cell>
          <cell r="AF40">
            <v>433.290783</v>
          </cell>
          <cell r="AG40">
            <v>0.123664009353032</v>
          </cell>
          <cell r="AH40">
            <v>71.498199</v>
          </cell>
          <cell r="AI40">
            <v>17.552014</v>
          </cell>
          <cell r="AJ40">
            <v>0.245488896860185</v>
          </cell>
          <cell r="AK40">
            <v>222.723731</v>
          </cell>
          <cell r="AL40">
            <v>63.252651</v>
          </cell>
          <cell r="AM40">
            <v>0.283996010285945</v>
          </cell>
          <cell r="AN40">
            <v>3797.996272</v>
          </cell>
          <cell r="AO40">
            <v>514.095448</v>
          </cell>
          <cell r="AP40">
            <v>0.135359650505734</v>
          </cell>
        </row>
        <row r="41">
          <cell r="AC41" t="str">
            <v>广州</v>
          </cell>
          <cell r="AD41" t="str">
            <v>广州</v>
          </cell>
          <cell r="AE41">
            <v>0</v>
          </cell>
          <cell r="AF41">
            <v>0</v>
          </cell>
          <cell r="AG41" t="e">
            <v>#DIV/0!</v>
          </cell>
          <cell r="AH41">
            <v>0</v>
          </cell>
          <cell r="AI41">
            <v>0</v>
          </cell>
          <cell r="AJ41" t="e">
            <v>#DIV/0!</v>
          </cell>
          <cell r="AK41">
            <v>130.687454</v>
          </cell>
          <cell r="AL41">
            <v>130.687453</v>
          </cell>
          <cell r="AM41">
            <v>0.999999992348156</v>
          </cell>
          <cell r="AN41">
            <v>130.687454</v>
          </cell>
          <cell r="AO41">
            <v>130.687453</v>
          </cell>
          <cell r="AP41">
            <v>0.999999992348156</v>
          </cell>
        </row>
      </sheetData>
      <sheetData sheetId="6">
        <row r="27">
          <cell r="B27" t="str">
            <v>公司</v>
          </cell>
          <cell r="C27" t="str">
            <v>直收</v>
          </cell>
        </row>
        <row r="27">
          <cell r="F27" t="str">
            <v>代收</v>
          </cell>
        </row>
        <row r="27">
          <cell r="I27" t="str">
            <v>其他</v>
          </cell>
        </row>
        <row r="27">
          <cell r="P27" t="str">
            <v>公司</v>
          </cell>
          <cell r="Q27" t="str">
            <v>直收</v>
          </cell>
        </row>
        <row r="27">
          <cell r="T27" t="str">
            <v>代收</v>
          </cell>
        </row>
        <row r="27">
          <cell r="W27" t="str">
            <v>其他</v>
          </cell>
        </row>
        <row r="28">
          <cell r="C28" t="str">
            <v>应收</v>
          </cell>
          <cell r="D28" t="str">
            <v>回款</v>
          </cell>
          <cell r="E28" t="str">
            <v>收费率</v>
          </cell>
          <cell r="F28" t="str">
            <v>应收</v>
          </cell>
          <cell r="G28" t="str">
            <v>回款</v>
          </cell>
          <cell r="H28" t="str">
            <v>收费率</v>
          </cell>
          <cell r="I28" t="str">
            <v>应收</v>
          </cell>
          <cell r="J28" t="str">
            <v>回款</v>
          </cell>
          <cell r="K28" t="str">
            <v>收费率</v>
          </cell>
        </row>
        <row r="28">
          <cell r="Q28" t="str">
            <v>应收</v>
          </cell>
          <cell r="R28" t="str">
            <v>回款</v>
          </cell>
          <cell r="S28" t="str">
            <v>收费率</v>
          </cell>
          <cell r="T28" t="str">
            <v>应收</v>
          </cell>
          <cell r="U28" t="str">
            <v>回款</v>
          </cell>
          <cell r="V28" t="str">
            <v>收费率</v>
          </cell>
          <cell r="W28" t="str">
            <v>应收</v>
          </cell>
          <cell r="X28" t="str">
            <v>回款</v>
          </cell>
          <cell r="Y28" t="str">
            <v>收费率</v>
          </cell>
        </row>
        <row r="29">
          <cell r="A29" t="str">
            <v>版纳</v>
          </cell>
          <cell r="B29" t="str">
            <v>版纳自建</v>
          </cell>
          <cell r="C29">
            <v>1064.953314</v>
          </cell>
          <cell r="D29">
            <v>590.847763</v>
          </cell>
          <cell r="E29">
            <v>0.554810952961643</v>
          </cell>
          <cell r="F29">
            <v>255.400905</v>
          </cell>
          <cell r="G29">
            <v>181.355168</v>
          </cell>
          <cell r="H29">
            <v>0.71008036561186</v>
          </cell>
          <cell r="I29">
            <v>369.570577</v>
          </cell>
          <cell r="J29">
            <v>168.968891</v>
          </cell>
          <cell r="K29">
            <v>0.457203309775388</v>
          </cell>
        </row>
        <row r="29">
          <cell r="O29" t="str">
            <v>版纳</v>
          </cell>
          <cell r="P29" t="str">
            <v>版纳外拓</v>
          </cell>
          <cell r="Q29">
            <v>667.549355</v>
          </cell>
          <cell r="R29">
            <v>213.258532</v>
          </cell>
          <cell r="S29">
            <v>0.319464816200744</v>
          </cell>
          <cell r="T29">
            <v>72.093232</v>
          </cell>
          <cell r="U29">
            <v>32.553179</v>
          </cell>
          <cell r="V29">
            <v>0.451542788371591</v>
          </cell>
          <cell r="W29">
            <v>95.488321</v>
          </cell>
          <cell r="X29">
            <v>40.304197</v>
          </cell>
          <cell r="Y29">
            <v>0.422085094574027</v>
          </cell>
        </row>
        <row r="30">
          <cell r="A30" t="str">
            <v>北城</v>
          </cell>
          <cell r="B30" t="str">
            <v>北城自建</v>
          </cell>
          <cell r="C30">
            <v>4326.911932</v>
          </cell>
          <cell r="D30">
            <v>3293.332969</v>
          </cell>
          <cell r="E30">
            <v>0.761127802173164</v>
          </cell>
          <cell r="F30">
            <v>1529.870139</v>
          </cell>
          <cell r="G30">
            <v>1467.883598</v>
          </cell>
          <cell r="H30">
            <v>0.959482481931102</v>
          </cell>
          <cell r="I30">
            <v>558.911314</v>
          </cell>
          <cell r="J30">
            <v>515.366517</v>
          </cell>
          <cell r="K30">
            <v>0.922089970431337</v>
          </cell>
        </row>
        <row r="30">
          <cell r="O30" t="str">
            <v>北城</v>
          </cell>
          <cell r="P30" t="str">
            <v>北城外拓</v>
          </cell>
          <cell r="Q30">
            <v>1972.742782</v>
          </cell>
          <cell r="R30">
            <v>853.77089</v>
          </cell>
          <cell r="S30">
            <v>0.432783684619255</v>
          </cell>
          <cell r="T30">
            <v>608.04232</v>
          </cell>
          <cell r="U30">
            <v>587.650734</v>
          </cell>
          <cell r="V30">
            <v>0.966463541550858</v>
          </cell>
          <cell r="W30">
            <v>203.438881</v>
          </cell>
          <cell r="X30">
            <v>174.023918</v>
          </cell>
          <cell r="Y30">
            <v>0.855411301638058</v>
          </cell>
        </row>
        <row r="31">
          <cell r="A31" t="str">
            <v>北京</v>
          </cell>
          <cell r="B31" t="str">
            <v>北京自建</v>
          </cell>
          <cell r="C31">
            <v>8899.699763</v>
          </cell>
          <cell r="D31">
            <v>7293.965434</v>
          </cell>
          <cell r="E31">
            <v>0.819574325903021</v>
          </cell>
          <cell r="F31">
            <v>1132.32796</v>
          </cell>
          <cell r="G31">
            <v>1103.381197</v>
          </cell>
          <cell r="H31">
            <v>0.974436060909421</v>
          </cell>
          <cell r="I31">
            <v>740.348195</v>
          </cell>
          <cell r="J31">
            <v>701.269829</v>
          </cell>
          <cell r="K31">
            <v>0.94721623384251</v>
          </cell>
        </row>
        <row r="31">
          <cell r="O31" t="str">
            <v>北京</v>
          </cell>
          <cell r="P31" t="str">
            <v>北京外拓</v>
          </cell>
          <cell r="Q31">
            <v>3360.0445</v>
          </cell>
          <cell r="R31">
            <v>1912.377647</v>
          </cell>
          <cell r="S31">
            <v>0.569152476105599</v>
          </cell>
          <cell r="T31">
            <v>165.454339</v>
          </cell>
          <cell r="U31">
            <v>145.666138</v>
          </cell>
          <cell r="V31">
            <v>0.88040083373093</v>
          </cell>
          <cell r="W31">
            <v>151.476379</v>
          </cell>
          <cell r="X31">
            <v>148.032436</v>
          </cell>
          <cell r="Y31">
            <v>0.977264158129896</v>
          </cell>
        </row>
        <row r="32">
          <cell r="A32" t="str">
            <v>滨湖</v>
          </cell>
          <cell r="B32" t="str">
            <v>滨湖自建</v>
          </cell>
          <cell r="C32">
            <v>2521.944081</v>
          </cell>
          <cell r="D32">
            <v>2056.354686</v>
          </cell>
          <cell r="E32">
            <v>0.815384727001804</v>
          </cell>
          <cell r="F32">
            <v>904.293294</v>
          </cell>
          <cell r="G32">
            <v>872.360286</v>
          </cell>
          <cell r="H32">
            <v>0.964687332957265</v>
          </cell>
          <cell r="I32">
            <v>381.203455</v>
          </cell>
          <cell r="J32">
            <v>328.013885</v>
          </cell>
          <cell r="K32">
            <v>0.860469339135449</v>
          </cell>
        </row>
        <row r="32">
          <cell r="O32" t="str">
            <v>滨湖</v>
          </cell>
          <cell r="P32" t="str">
            <v>滨湖外拓</v>
          </cell>
          <cell r="Q32">
            <v>1566.750321</v>
          </cell>
          <cell r="R32">
            <v>779.271283</v>
          </cell>
          <cell r="S32">
            <v>0.497380643587562</v>
          </cell>
          <cell r="T32">
            <v>402.981427</v>
          </cell>
          <cell r="U32">
            <v>367.882298</v>
          </cell>
          <cell r="V32">
            <v>0.912901372995535</v>
          </cell>
          <cell r="W32">
            <v>226.646635</v>
          </cell>
          <cell r="X32">
            <v>225.469309</v>
          </cell>
          <cell r="Y32">
            <v>0.994805455638024</v>
          </cell>
        </row>
        <row r="33">
          <cell r="A33" t="str">
            <v>阜阳</v>
          </cell>
          <cell r="B33" t="str">
            <v>阜阳自建</v>
          </cell>
          <cell r="C33">
            <v>806.947305</v>
          </cell>
          <cell r="D33">
            <v>621.766252</v>
          </cell>
          <cell r="E33">
            <v>0.770516548165434</v>
          </cell>
          <cell r="F33">
            <v>21.661296</v>
          </cell>
          <cell r="G33">
            <v>12.471187</v>
          </cell>
          <cell r="H33">
            <v>0.575735957811573</v>
          </cell>
          <cell r="I33">
            <v>123.624</v>
          </cell>
          <cell r="J33">
            <v>98.413895</v>
          </cell>
          <cell r="K33">
            <v>0.796074346405229</v>
          </cell>
        </row>
        <row r="33">
          <cell r="O33" t="str">
            <v>阜阳</v>
          </cell>
          <cell r="P33" t="str">
            <v>阜阳外拓</v>
          </cell>
          <cell r="Q33">
            <v>452.387971</v>
          </cell>
          <cell r="R33">
            <v>236.218723</v>
          </cell>
          <cell r="S33">
            <v>0.522159602249902</v>
          </cell>
          <cell r="T33">
            <v>112.101246</v>
          </cell>
          <cell r="U33">
            <v>112.101246</v>
          </cell>
          <cell r="V33">
            <v>1</v>
          </cell>
          <cell r="W33">
            <v>49.231262</v>
          </cell>
          <cell r="X33">
            <v>41.618247</v>
          </cell>
          <cell r="Y33">
            <v>0.845362180640423</v>
          </cell>
        </row>
        <row r="34">
          <cell r="A34" t="str">
            <v>贵阳</v>
          </cell>
          <cell r="B34" t="str">
            <v>贵阳自建</v>
          </cell>
          <cell r="C34">
            <v>4605.03739</v>
          </cell>
          <cell r="D34">
            <v>3313.67129</v>
          </cell>
          <cell r="E34">
            <v>0.719575327921496</v>
          </cell>
          <cell r="F34">
            <v>1945.992574</v>
          </cell>
          <cell r="G34">
            <v>1870.941896</v>
          </cell>
          <cell r="H34">
            <v>0.961433214595607</v>
          </cell>
          <cell r="I34">
            <v>584.935543</v>
          </cell>
          <cell r="J34">
            <v>479.357757</v>
          </cell>
          <cell r="K34">
            <v>0.819505264702302</v>
          </cell>
        </row>
        <row r="34">
          <cell r="O34" t="str">
            <v>贵阳</v>
          </cell>
          <cell r="P34" t="str">
            <v>贵阳外拓</v>
          </cell>
          <cell r="Q34">
            <v>3560.43027</v>
          </cell>
          <cell r="R34">
            <v>1979.062085</v>
          </cell>
          <cell r="S34">
            <v>0.555849134773253</v>
          </cell>
          <cell r="T34">
            <v>83.949653</v>
          </cell>
          <cell r="U34">
            <v>75.856228</v>
          </cell>
          <cell r="V34">
            <v>0.903591918360878</v>
          </cell>
          <cell r="W34">
            <v>270.174191</v>
          </cell>
          <cell r="X34">
            <v>218.871304</v>
          </cell>
          <cell r="Y34">
            <v>0.810111814122171</v>
          </cell>
        </row>
        <row r="35">
          <cell r="A35" t="str">
            <v>昆明</v>
          </cell>
          <cell r="B35" t="str">
            <v>昆明自建</v>
          </cell>
          <cell r="C35">
            <v>2202.117341</v>
          </cell>
          <cell r="D35">
            <v>1990.253265</v>
          </cell>
          <cell r="E35">
            <v>0.903790741730506</v>
          </cell>
          <cell r="F35">
            <v>654.620479</v>
          </cell>
          <cell r="G35">
            <v>644.479467</v>
          </cell>
          <cell r="H35">
            <v>0.984508562861505</v>
          </cell>
          <cell r="I35">
            <v>1207.043593</v>
          </cell>
          <cell r="J35">
            <v>1090.460105</v>
          </cell>
          <cell r="K35">
            <v>0.903414020275571</v>
          </cell>
        </row>
        <row r="35">
          <cell r="O35" t="str">
            <v>昆明</v>
          </cell>
          <cell r="P35" t="str">
            <v>昆明外拓</v>
          </cell>
          <cell r="Q35">
            <v>1895.649445</v>
          </cell>
          <cell r="R35">
            <v>1063.094796</v>
          </cell>
          <cell r="S35">
            <v>0.560807695116857</v>
          </cell>
          <cell r="T35">
            <v>100.345807</v>
          </cell>
          <cell r="U35">
            <v>88.483731</v>
          </cell>
          <cell r="V35">
            <v>0.881788025283408</v>
          </cell>
          <cell r="W35">
            <v>178.777856</v>
          </cell>
          <cell r="X35">
            <v>98.647218</v>
          </cell>
          <cell r="Y35">
            <v>0.55178655906915</v>
          </cell>
        </row>
        <row r="36">
          <cell r="A36" t="str">
            <v>连江</v>
          </cell>
          <cell r="B36" t="str">
            <v>连江自建</v>
          </cell>
          <cell r="C36">
            <v>3361.754585</v>
          </cell>
          <cell r="D36">
            <v>2073.315893</v>
          </cell>
          <cell r="E36">
            <v>0.616736243106812</v>
          </cell>
          <cell r="F36">
            <v>887.162491</v>
          </cell>
          <cell r="G36">
            <v>548.781926</v>
          </cell>
          <cell r="H36">
            <v>0.618581073441708</v>
          </cell>
          <cell r="I36">
            <v>324.804674</v>
          </cell>
          <cell r="J36">
            <v>310.048237</v>
          </cell>
          <cell r="K36">
            <v>0.954568273854335</v>
          </cell>
        </row>
        <row r="36">
          <cell r="O36" t="str">
            <v>连江</v>
          </cell>
          <cell r="P36" t="str">
            <v>连江外拓</v>
          </cell>
          <cell r="Q36">
            <v>377.303266</v>
          </cell>
          <cell r="R36">
            <v>242.975395</v>
          </cell>
          <cell r="S36">
            <v>0.643979039926996</v>
          </cell>
          <cell r="T36">
            <v>44.492845</v>
          </cell>
          <cell r="U36">
            <v>21.377673</v>
          </cell>
          <cell r="V36">
            <v>0.480474399872609</v>
          </cell>
          <cell r="W36">
            <v>44.392041</v>
          </cell>
          <cell r="X36">
            <v>30.662268</v>
          </cell>
          <cell r="Y36">
            <v>0.690715437030706</v>
          </cell>
        </row>
        <row r="37">
          <cell r="A37" t="str">
            <v>罗源</v>
          </cell>
          <cell r="B37" t="str">
            <v>罗源自建</v>
          </cell>
          <cell r="C37">
            <v>3338.208618</v>
          </cell>
          <cell r="D37">
            <v>2464.518667</v>
          </cell>
          <cell r="E37">
            <v>0.73827580868105</v>
          </cell>
          <cell r="F37">
            <v>978.794238</v>
          </cell>
          <cell r="G37">
            <v>596.682129</v>
          </cell>
          <cell r="H37">
            <v>0.609609360001157</v>
          </cell>
          <cell r="I37">
            <v>462.785321</v>
          </cell>
          <cell r="J37">
            <v>460.021678</v>
          </cell>
          <cell r="K37">
            <v>0.994028239715926</v>
          </cell>
        </row>
        <row r="37">
          <cell r="O37" t="str">
            <v>罗源</v>
          </cell>
          <cell r="P37" t="str">
            <v>罗源外拓</v>
          </cell>
          <cell r="Q37">
            <v>552.672336</v>
          </cell>
          <cell r="R37">
            <v>231.692644</v>
          </cell>
          <cell r="S37">
            <v>0.419222437795403</v>
          </cell>
          <cell r="T37">
            <v>58.651604</v>
          </cell>
          <cell r="U37">
            <v>24.953455</v>
          </cell>
          <cell r="V37">
            <v>0.425452217811469</v>
          </cell>
          <cell r="W37">
            <v>48.20849</v>
          </cell>
          <cell r="X37">
            <v>44.136676</v>
          </cell>
          <cell r="Y37">
            <v>0.915537408452329</v>
          </cell>
        </row>
        <row r="38">
          <cell r="A38" t="str">
            <v>闽江</v>
          </cell>
          <cell r="B38" t="str">
            <v>福州自建</v>
          </cell>
          <cell r="C38">
            <v>2007.804738</v>
          </cell>
          <cell r="D38">
            <v>1512.619582</v>
          </cell>
          <cell r="E38">
            <v>0.753369863797981</v>
          </cell>
          <cell r="F38">
            <v>598.101677</v>
          </cell>
          <cell r="G38">
            <v>462.582448</v>
          </cell>
          <cell r="H38">
            <v>0.773417741144371</v>
          </cell>
          <cell r="I38">
            <v>190.402108</v>
          </cell>
          <cell r="J38">
            <v>181.234327</v>
          </cell>
          <cell r="K38">
            <v>0.951850422790487</v>
          </cell>
        </row>
        <row r="38">
          <cell r="O38" t="str">
            <v>闽江</v>
          </cell>
          <cell r="P38" t="str">
            <v>福州外拓</v>
          </cell>
          <cell r="Q38">
            <v>697.84032</v>
          </cell>
          <cell r="R38">
            <v>400.764833</v>
          </cell>
          <cell r="S38">
            <v>0.574293031678078</v>
          </cell>
          <cell r="T38">
            <v>101.54209</v>
          </cell>
          <cell r="U38">
            <v>55.287499</v>
          </cell>
          <cell r="V38">
            <v>0.544478639350441</v>
          </cell>
          <cell r="W38">
            <v>116.070062</v>
          </cell>
          <cell r="X38">
            <v>97.305184</v>
          </cell>
          <cell r="Y38">
            <v>0.838331455358402</v>
          </cell>
        </row>
        <row r="39">
          <cell r="A39" t="str">
            <v>宁波</v>
          </cell>
          <cell r="B39" t="str">
            <v>宁波自建</v>
          </cell>
          <cell r="C39">
            <v>5510.903696</v>
          </cell>
          <cell r="D39">
            <v>3813.99142</v>
          </cell>
          <cell r="E39">
            <v>0.692080941782438</v>
          </cell>
          <cell r="F39">
            <v>533.627916</v>
          </cell>
          <cell r="G39">
            <v>494.909017</v>
          </cell>
          <cell r="H39">
            <v>0.927442141164144</v>
          </cell>
          <cell r="I39">
            <v>777.97955</v>
          </cell>
          <cell r="J39">
            <v>807.187645</v>
          </cell>
          <cell r="K39">
            <v>1.03754352540501</v>
          </cell>
        </row>
        <row r="39">
          <cell r="O39" t="str">
            <v>宁波</v>
          </cell>
          <cell r="P39" t="str">
            <v>宁波外拓</v>
          </cell>
          <cell r="Q39">
            <v>387.752471</v>
          </cell>
          <cell r="R39">
            <v>210.704546</v>
          </cell>
          <cell r="S39">
            <v>0.543399621559085</v>
          </cell>
          <cell r="T39">
            <v>1.78356</v>
          </cell>
          <cell r="U39">
            <v>1.532574</v>
          </cell>
          <cell r="V39">
            <v>0.859278073067348</v>
          </cell>
          <cell r="W39">
            <v>0.7875</v>
          </cell>
          <cell r="X39">
            <v>0.1375</v>
          </cell>
          <cell r="Y39">
            <v>0.174603174603175</v>
          </cell>
        </row>
        <row r="40">
          <cell r="A40" t="str">
            <v>腾冲</v>
          </cell>
          <cell r="B40" t="str">
            <v>腾冲自建</v>
          </cell>
          <cell r="C40">
            <v>912.735674</v>
          </cell>
          <cell r="D40">
            <v>548.71593</v>
          </cell>
          <cell r="E40">
            <v>0.601177258247496</v>
          </cell>
          <cell r="F40">
            <v>468.849623</v>
          </cell>
          <cell r="G40">
            <v>407.03753</v>
          </cell>
          <cell r="H40">
            <v>0.868162220960131</v>
          </cell>
          <cell r="I40">
            <v>294.133928</v>
          </cell>
          <cell r="J40">
            <v>286.651367</v>
          </cell>
          <cell r="K40">
            <v>0.974560700797495</v>
          </cell>
        </row>
        <row r="40">
          <cell r="O40" t="str">
            <v>腾冲</v>
          </cell>
          <cell r="P40" t="str">
            <v>腾冲外拓</v>
          </cell>
          <cell r="Q40">
            <v>413.223936</v>
          </cell>
          <cell r="R40">
            <v>338.296175</v>
          </cell>
          <cell r="S40">
            <v>0.818675167452062</v>
          </cell>
          <cell r="T40">
            <v>2.127678</v>
          </cell>
          <cell r="U40">
            <v>2.127678</v>
          </cell>
          <cell r="V40">
            <v>1</v>
          </cell>
          <cell r="W40">
            <v>17.787704</v>
          </cell>
          <cell r="X40">
            <v>17.787704</v>
          </cell>
          <cell r="Y40">
            <v>1</v>
          </cell>
        </row>
        <row r="41">
          <cell r="A41" t="str">
            <v>长沙</v>
          </cell>
          <cell r="B41" t="str">
            <v>长沙自建</v>
          </cell>
          <cell r="C41">
            <v>2417.82548</v>
          </cell>
          <cell r="D41">
            <v>1718.828233</v>
          </cell>
          <cell r="E41">
            <v>0.710898386677603</v>
          </cell>
          <cell r="F41">
            <v>945.57957</v>
          </cell>
          <cell r="G41">
            <v>619.768932</v>
          </cell>
          <cell r="H41">
            <v>0.655438158419603</v>
          </cell>
          <cell r="I41">
            <v>262.494477</v>
          </cell>
          <cell r="J41">
            <v>193.939904</v>
          </cell>
          <cell r="K41">
            <v>0.738834226976897</v>
          </cell>
        </row>
        <row r="41">
          <cell r="O41" t="str">
            <v>长沙</v>
          </cell>
          <cell r="P41" t="str">
            <v>长沙外拓</v>
          </cell>
          <cell r="Q41">
            <v>587.932576</v>
          </cell>
          <cell r="R41">
            <v>169.4299</v>
          </cell>
          <cell r="S41">
            <v>0.288179132975955</v>
          </cell>
          <cell r="T41">
            <v>80.055814</v>
          </cell>
          <cell r="U41">
            <v>70.415457</v>
          </cell>
          <cell r="V41">
            <v>0.879579551836173</v>
          </cell>
          <cell r="W41">
            <v>35.415225</v>
          </cell>
          <cell r="X41">
            <v>10.87223</v>
          </cell>
          <cell r="Y41">
            <v>0.306993108190051</v>
          </cell>
        </row>
        <row r="42">
          <cell r="A42" t="str">
            <v>广州</v>
          </cell>
          <cell r="B42" t="str">
            <v>广州自建</v>
          </cell>
          <cell r="C42">
            <v>0</v>
          </cell>
          <cell r="D42">
            <v>0</v>
          </cell>
          <cell r="E42" t="e">
            <v>#DIV/0!</v>
          </cell>
          <cell r="F42">
            <v>4.68804</v>
          </cell>
          <cell r="G42">
            <v>4.68804</v>
          </cell>
          <cell r="H42">
            <v>1</v>
          </cell>
          <cell r="I42">
            <v>593.2435281</v>
          </cell>
          <cell r="J42">
            <v>83.209244</v>
          </cell>
          <cell r="K42">
            <v>0.140261528459479</v>
          </cell>
        </row>
        <row r="42">
          <cell r="O42" t="str">
            <v>广州</v>
          </cell>
          <cell r="P42" t="str">
            <v>广州外拓</v>
          </cell>
          <cell r="Q42">
            <v>0</v>
          </cell>
          <cell r="R42">
            <v>0</v>
          </cell>
          <cell r="S42" t="e">
            <v>#DIV/0!</v>
          </cell>
          <cell r="T42">
            <v>0</v>
          </cell>
          <cell r="U42">
            <v>0</v>
          </cell>
          <cell r="V42" t="e">
            <v>#DIV/0!</v>
          </cell>
          <cell r="W42">
            <v>0</v>
          </cell>
          <cell r="X42">
            <v>0</v>
          </cell>
          <cell r="Y42" t="e">
            <v>#DIV/0!</v>
          </cell>
        </row>
      </sheetData>
      <sheetData sheetId="7">
        <row r="5">
          <cell r="B5" t="str">
            <v>黄山案场</v>
          </cell>
          <cell r="C5">
            <v>38.482807</v>
          </cell>
          <cell r="D5">
            <v>0</v>
          </cell>
          <cell r="E5">
            <v>0</v>
          </cell>
          <cell r="F5">
            <v>0</v>
          </cell>
          <cell r="G5">
            <v>40.242857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95.842799</v>
          </cell>
          <cell r="N5">
            <v>0</v>
          </cell>
          <cell r="O5">
            <v>44</v>
          </cell>
          <cell r="P5">
            <v>0.459085089950263</v>
          </cell>
          <cell r="Q5">
            <v>26.823987</v>
          </cell>
          <cell r="R5">
            <v>0</v>
          </cell>
          <cell r="S5">
            <v>13.619384</v>
          </cell>
          <cell r="T5">
            <v>0.50773153148337</v>
          </cell>
        </row>
        <row r="6">
          <cell r="B6" t="str">
            <v>高淳案场</v>
          </cell>
          <cell r="C6">
            <v>16.939235</v>
          </cell>
          <cell r="D6">
            <v>0</v>
          </cell>
          <cell r="E6">
            <v>0</v>
          </cell>
          <cell r="F6">
            <v>0</v>
          </cell>
          <cell r="G6">
            <v>54.555433</v>
          </cell>
          <cell r="H6">
            <v>0</v>
          </cell>
          <cell r="I6">
            <v>10</v>
          </cell>
          <cell r="J6">
            <v>0.18329980077328</v>
          </cell>
          <cell r="K6">
            <v>-10</v>
          </cell>
          <cell r="L6">
            <v>-0.18329980077328</v>
          </cell>
          <cell r="M6">
            <v>173.139652</v>
          </cell>
          <cell r="N6">
            <v>0</v>
          </cell>
          <cell r="O6">
            <v>17.85</v>
          </cell>
          <cell r="P6">
            <v>0.103095967872224</v>
          </cell>
          <cell r="Q6">
            <v>108.443765</v>
          </cell>
          <cell r="R6">
            <v>0</v>
          </cell>
          <cell r="S6">
            <v>5</v>
          </cell>
          <cell r="T6">
            <v>0.0461068462534476</v>
          </cell>
        </row>
        <row r="7">
          <cell r="B7" t="str">
            <v>北城</v>
          </cell>
          <cell r="C7">
            <v>55.422042</v>
          </cell>
          <cell r="D7">
            <v>0</v>
          </cell>
          <cell r="E7">
            <v>0</v>
          </cell>
          <cell r="F7">
            <v>0</v>
          </cell>
          <cell r="G7">
            <v>94.79829</v>
          </cell>
          <cell r="H7">
            <v>0</v>
          </cell>
          <cell r="I7">
            <v>10</v>
          </cell>
          <cell r="J7">
            <v>0.105487134841778</v>
          </cell>
          <cell r="K7">
            <v>-10</v>
          </cell>
          <cell r="L7">
            <v>-0.18329980077328</v>
          </cell>
          <cell r="M7">
            <v>268.982451</v>
          </cell>
          <cell r="N7">
            <v>0</v>
          </cell>
          <cell r="O7">
            <v>61.85</v>
          </cell>
          <cell r="P7">
            <v>0.229940651407032</v>
          </cell>
          <cell r="Q7">
            <v>135.267752</v>
          </cell>
          <cell r="R7">
            <v>0</v>
          </cell>
          <cell r="S7">
            <v>18.619384</v>
          </cell>
          <cell r="T7">
            <v>0.137648358346341</v>
          </cell>
        </row>
        <row r="8">
          <cell r="B8" t="str">
            <v>北京</v>
          </cell>
          <cell r="C8">
            <v>240.922153</v>
          </cell>
          <cell r="D8">
            <v>0</v>
          </cell>
          <cell r="E8">
            <v>0.873301</v>
          </cell>
          <cell r="F8">
            <v>0.00362482648077614</v>
          </cell>
          <cell r="G8">
            <v>239.927146</v>
          </cell>
          <cell r="H8">
            <v>0</v>
          </cell>
          <cell r="I8">
            <v>0.507084</v>
          </cell>
          <cell r="J8">
            <v>0.00211349156797789</v>
          </cell>
          <cell r="K8">
            <v>0.366217</v>
          </cell>
          <cell r="L8">
            <v>0.00151133491279825</v>
          </cell>
          <cell r="M8">
            <v>652.368605</v>
          </cell>
          <cell r="N8">
            <v>0</v>
          </cell>
          <cell r="O8">
            <v>140.667289</v>
          </cell>
          <cell r="P8">
            <v>0.215625472964016</v>
          </cell>
          <cell r="Q8">
            <v>481.439013</v>
          </cell>
          <cell r="R8">
            <v>0</v>
          </cell>
          <cell r="S8">
            <v>257.90708</v>
          </cell>
          <cell r="T8">
            <v>0.5357004169498</v>
          </cell>
        </row>
        <row r="9">
          <cell r="B9" t="str">
            <v>梧桐印象</v>
          </cell>
          <cell r="C9">
            <v>2.08296</v>
          </cell>
          <cell r="D9">
            <v>0</v>
          </cell>
          <cell r="E9">
            <v>-1.19394</v>
          </cell>
          <cell r="F9">
            <v>-0.57319391634981</v>
          </cell>
          <cell r="G9">
            <v>34.2936</v>
          </cell>
          <cell r="H9">
            <v>0</v>
          </cell>
          <cell r="I9">
            <v>14.40351</v>
          </cell>
          <cell r="J9">
            <v>0.420005773672055</v>
          </cell>
          <cell r="K9">
            <v>-15.59745</v>
          </cell>
          <cell r="L9">
            <v>-0.993199690021865</v>
          </cell>
          <cell r="M9">
            <v>8.73774</v>
          </cell>
          <cell r="N9">
            <v>0</v>
          </cell>
          <cell r="O9">
            <v>8.73774</v>
          </cell>
          <cell r="P9">
            <v>1</v>
          </cell>
          <cell r="Q9">
            <v>7.77348</v>
          </cell>
          <cell r="R9">
            <v>0</v>
          </cell>
          <cell r="S9">
            <v>7.77348</v>
          </cell>
          <cell r="T9">
            <v>1</v>
          </cell>
        </row>
        <row r="10">
          <cell r="B10" t="str">
            <v>太湖新城</v>
          </cell>
          <cell r="C10">
            <v>98.19705</v>
          </cell>
          <cell r="D10">
            <v>0</v>
          </cell>
          <cell r="E10">
            <v>39.715864</v>
          </cell>
          <cell r="F10">
            <v>0.404450683599966</v>
          </cell>
          <cell r="G10">
            <v>113.016075</v>
          </cell>
          <cell r="H10">
            <v>0</v>
          </cell>
          <cell r="I10">
            <v>78.640593</v>
          </cell>
          <cell r="J10">
            <v>0.695835464114286</v>
          </cell>
          <cell r="K10">
            <v>-38.924729</v>
          </cell>
          <cell r="L10">
            <v>-0.291384780514321</v>
          </cell>
          <cell r="M10">
            <v>19.857932</v>
          </cell>
          <cell r="N10">
            <v>0</v>
          </cell>
          <cell r="O10">
            <v>19.857932</v>
          </cell>
          <cell r="P10">
            <v>1</v>
          </cell>
          <cell r="Q10">
            <v>33.654708</v>
          </cell>
          <cell r="R10">
            <v>0</v>
          </cell>
          <cell r="S10">
            <v>33.654708</v>
          </cell>
          <cell r="T10">
            <v>1</v>
          </cell>
        </row>
        <row r="11">
          <cell r="B11" t="str">
            <v>辰上南园</v>
          </cell>
          <cell r="C11">
            <v>0</v>
          </cell>
          <cell r="D11">
            <v>0</v>
          </cell>
          <cell r="E11">
            <v>0</v>
          </cell>
          <cell r="F11" t="e">
            <v>#DIV/0!</v>
          </cell>
          <cell r="G11">
            <v>-2.6144</v>
          </cell>
          <cell r="H11">
            <v>0</v>
          </cell>
          <cell r="I11">
            <v>-2.6144</v>
          </cell>
          <cell r="J11">
            <v>1</v>
          </cell>
          <cell r="K11">
            <v>2.6144</v>
          </cell>
          <cell r="L11" t="e">
            <v>#DIV/0!</v>
          </cell>
          <cell r="M11">
            <v>0</v>
          </cell>
          <cell r="N11">
            <v>0</v>
          </cell>
          <cell r="O11">
            <v>0</v>
          </cell>
          <cell r="P11" t="e">
            <v>#DIV/0!</v>
          </cell>
          <cell r="Q11">
            <v>2.6144</v>
          </cell>
          <cell r="R11">
            <v>0</v>
          </cell>
          <cell r="S11">
            <v>2.6144</v>
          </cell>
          <cell r="T11">
            <v>1</v>
          </cell>
        </row>
        <row r="12">
          <cell r="B12" t="str">
            <v>永康望辰府</v>
          </cell>
          <cell r="C12">
            <v>26.3792</v>
          </cell>
          <cell r="D12">
            <v>0</v>
          </cell>
          <cell r="E12">
            <v>21.1792</v>
          </cell>
          <cell r="F12">
            <v>0.802874992418269</v>
          </cell>
          <cell r="G12">
            <v>37.886833</v>
          </cell>
          <cell r="H12">
            <v>0</v>
          </cell>
          <cell r="I12">
            <v>30.349233</v>
          </cell>
          <cell r="J12">
            <v>0.801049615310945</v>
          </cell>
          <cell r="K12">
            <v>-9.170033</v>
          </cell>
          <cell r="L12">
            <v>0.00182537710732444</v>
          </cell>
          <cell r="M12">
            <v>5.2948</v>
          </cell>
          <cell r="N12">
            <v>0</v>
          </cell>
          <cell r="O12">
            <v>5.2948</v>
          </cell>
          <cell r="P12">
            <v>1</v>
          </cell>
          <cell r="Q12">
            <v>7.338767</v>
          </cell>
          <cell r="R12">
            <v>0</v>
          </cell>
          <cell r="S12">
            <v>7.338767</v>
          </cell>
          <cell r="T12">
            <v>1</v>
          </cell>
        </row>
        <row r="13">
          <cell r="B13" t="str">
            <v>碧山隐院案场</v>
          </cell>
          <cell r="C13">
            <v>148.168225</v>
          </cell>
          <cell r="D13">
            <v>0</v>
          </cell>
          <cell r="E13">
            <v>0</v>
          </cell>
          <cell r="F13">
            <v>0</v>
          </cell>
          <cell r="G13">
            <v>76.866095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121.102855</v>
          </cell>
          <cell r="N13">
            <v>0</v>
          </cell>
          <cell r="O13">
            <v>94.80932</v>
          </cell>
          <cell r="P13">
            <v>0.782882616598923</v>
          </cell>
          <cell r="Q13">
            <v>28.497786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宁波</v>
          </cell>
          <cell r="C14">
            <v>274.827435</v>
          </cell>
          <cell r="D14">
            <v>0</v>
          </cell>
          <cell r="E14">
            <v>59.701124</v>
          </cell>
          <cell r="F14">
            <v>0.21723131098611</v>
          </cell>
          <cell r="G14">
            <v>259.448203</v>
          </cell>
          <cell r="H14">
            <v>0</v>
          </cell>
          <cell r="I14">
            <v>120.778936</v>
          </cell>
          <cell r="J14">
            <v>0.465522345514183</v>
          </cell>
          <cell r="K14">
            <v>-61.077812</v>
          </cell>
          <cell r="L14" t="e">
            <v>#DIV/0!</v>
          </cell>
          <cell r="M14">
            <v>154.993327</v>
          </cell>
          <cell r="N14">
            <v>0</v>
          </cell>
          <cell r="O14">
            <v>128.699792</v>
          </cell>
          <cell r="P14">
            <v>0.83035698691725</v>
          </cell>
          <cell r="Q14">
            <v>79.879141</v>
          </cell>
          <cell r="R14">
            <v>0</v>
          </cell>
          <cell r="S14">
            <v>51.381355</v>
          </cell>
          <cell r="T14">
            <v>0.64323870232906</v>
          </cell>
        </row>
        <row r="22">
          <cell r="B22" t="str">
            <v>望辰府</v>
          </cell>
          <cell r="C22">
            <v>460.231026</v>
          </cell>
          <cell r="D22">
            <v>0</v>
          </cell>
          <cell r="E22">
            <v>86.733073</v>
          </cell>
          <cell r="F22">
            <v>0.188455510602625</v>
          </cell>
          <cell r="G22">
            <v>0.481351</v>
          </cell>
          <cell r="H22">
            <v>0</v>
          </cell>
          <cell r="I22">
            <v>0.481351</v>
          </cell>
          <cell r="J22">
            <v>1</v>
          </cell>
          <cell r="K22">
            <v>55.372802</v>
          </cell>
          <cell r="L22">
            <v>0</v>
          </cell>
          <cell r="M22">
            <v>10.748558</v>
          </cell>
          <cell r="N22">
            <v>0.194112589787311</v>
          </cell>
          <cell r="O22">
            <v>516.085179</v>
          </cell>
          <cell r="P22">
            <v>0</v>
          </cell>
          <cell r="Q22">
            <v>97.962982</v>
          </cell>
          <cell r="R22">
            <v>0.189819405761311</v>
          </cell>
          <cell r="S22">
            <v>460.930656</v>
          </cell>
          <cell r="T22">
            <v>0</v>
          </cell>
          <cell r="U22">
            <v>130.691188</v>
          </cell>
          <cell r="V22">
            <v>0.283537634780361</v>
          </cell>
          <cell r="W22">
            <v>0.330765</v>
          </cell>
          <cell r="X22">
            <v>0</v>
          </cell>
          <cell r="Y22">
            <v>0.138483</v>
          </cell>
          <cell r="Z22">
            <v>0.418674890027663</v>
          </cell>
          <cell r="AA22">
            <v>64.369417</v>
          </cell>
          <cell r="AB22">
            <v>0</v>
          </cell>
          <cell r="AC22">
            <v>24.607612</v>
          </cell>
          <cell r="AD22">
            <v>0.382287321322174</v>
          </cell>
        </row>
        <row r="23">
          <cell r="B23" t="str">
            <v>都会文澜</v>
          </cell>
          <cell r="C23">
            <v>369.645095</v>
          </cell>
          <cell r="D23">
            <v>0.598599</v>
          </cell>
          <cell r="E23">
            <v>42.57806</v>
          </cell>
          <cell r="F23">
            <v>0.115373158833623</v>
          </cell>
          <cell r="G23">
            <v>0.598901</v>
          </cell>
          <cell r="H23">
            <v>0</v>
          </cell>
          <cell r="I23">
            <v>0.598901</v>
          </cell>
          <cell r="J23">
            <v>1</v>
          </cell>
          <cell r="K23">
            <v>45.375757</v>
          </cell>
          <cell r="L23">
            <v>0</v>
          </cell>
          <cell r="M23">
            <v>5.520773</v>
          </cell>
          <cell r="N23">
            <v>0.121667898565307</v>
          </cell>
          <cell r="O23">
            <v>415.619753</v>
          </cell>
          <cell r="P23">
            <v>0.598599</v>
          </cell>
          <cell r="Q23">
            <v>48.697734</v>
          </cell>
          <cell r="R23">
            <v>0.117337956223793</v>
          </cell>
          <cell r="S23">
            <v>430.767062</v>
          </cell>
          <cell r="T23">
            <v>0</v>
          </cell>
          <cell r="U23">
            <v>95.202466</v>
          </cell>
          <cell r="V23">
            <v>0.221006837333352</v>
          </cell>
          <cell r="W23">
            <v>0.402694</v>
          </cell>
          <cell r="X23">
            <v>0</v>
          </cell>
          <cell r="Y23">
            <v>0.169308</v>
          </cell>
          <cell r="Z23">
            <v>0.420438347728052</v>
          </cell>
          <cell r="AA23">
            <v>49.797458</v>
          </cell>
          <cell r="AB23">
            <v>0</v>
          </cell>
          <cell r="AC23">
            <v>5.553072</v>
          </cell>
          <cell r="AD23">
            <v>0.111513161977063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-3月"/>
      <sheetName val="26年指标"/>
      <sheetName val="回款"/>
      <sheetName val="26欠费达成情况 (精简版)"/>
      <sheetName val="25欠费达成情况-自建"/>
      <sheetName val="25欠费达成情况-外拓多业权"/>
      <sheetName val="26年1-5月历欠（匹配）"/>
      <sheetName val="26年1-5月历欠（匹配） -福州改闽江"/>
      <sheetName val="数据透视"/>
      <sheetName val="基础指标"/>
      <sheetName val="全口径"/>
      <sheetName val="Sheet2"/>
      <sheetName val="罗源数据分析"/>
      <sheetName val="应收分析PPT"/>
      <sheetName val="季度PP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B2" t="str">
            <v>公司</v>
          </cell>
          <cell r="AC2" t="str">
            <v>应收总额</v>
          </cell>
          <cell r="AD2" t="str">
            <v>1年以内</v>
          </cell>
        </row>
        <row r="2">
          <cell r="AG2" t="str">
            <v>2-3年</v>
          </cell>
        </row>
        <row r="2">
          <cell r="AJ2" t="str">
            <v>3年以上</v>
          </cell>
        </row>
        <row r="3">
          <cell r="AD3" t="str">
            <v>应收</v>
          </cell>
          <cell r="AE3" t="str">
            <v>实收</v>
          </cell>
          <cell r="AF3" t="str">
            <v>收费率</v>
          </cell>
          <cell r="AG3" t="str">
            <v>应收</v>
          </cell>
          <cell r="AH3" t="str">
            <v>实收</v>
          </cell>
          <cell r="AI3" t="str">
            <v>收费率</v>
          </cell>
          <cell r="AJ3" t="str">
            <v>应收</v>
          </cell>
          <cell r="AK3" t="str">
            <v>实收</v>
          </cell>
          <cell r="AL3" t="str">
            <v>收费率</v>
          </cell>
        </row>
        <row r="4">
          <cell r="AB4" t="str">
            <v>版纳</v>
          </cell>
          <cell r="AC4">
            <v>1163.63422</v>
          </cell>
          <cell r="AD4">
            <v>538.280928</v>
          </cell>
          <cell r="AE4">
            <v>161.391206</v>
          </cell>
          <cell r="AF4">
            <v>0.299827093260863</v>
          </cell>
          <cell r="AG4">
            <v>323.413429</v>
          </cell>
          <cell r="AH4">
            <v>25.475349</v>
          </cell>
          <cell r="AI4">
            <v>0.0787702263284806</v>
          </cell>
          <cell r="AJ4">
            <v>301.939863</v>
          </cell>
          <cell r="AK4">
            <v>9.980609</v>
          </cell>
          <cell r="AL4">
            <v>0.0330549563771909</v>
          </cell>
        </row>
        <row r="5">
          <cell r="AB5" t="str">
            <v>北城</v>
          </cell>
          <cell r="AC5">
            <v>1771.250712</v>
          </cell>
          <cell r="AD5">
            <v>1190.375651</v>
          </cell>
          <cell r="AE5">
            <v>366.23837</v>
          </cell>
          <cell r="AF5">
            <v>0.307666214184013</v>
          </cell>
          <cell r="AG5">
            <v>495.813935</v>
          </cell>
          <cell r="AH5">
            <v>77.337046</v>
          </cell>
          <cell r="AI5">
            <v>0.155979976641842</v>
          </cell>
          <cell r="AJ5">
            <v>85.061126</v>
          </cell>
          <cell r="AK5">
            <v>3.546942</v>
          </cell>
          <cell r="AL5">
            <v>0.0416987426195134</v>
          </cell>
        </row>
        <row r="6">
          <cell r="AB6" t="str">
            <v>北京</v>
          </cell>
          <cell r="AC6">
            <v>1701.953116</v>
          </cell>
          <cell r="AD6">
            <v>738.009709</v>
          </cell>
          <cell r="AE6">
            <v>167.370665</v>
          </cell>
          <cell r="AF6">
            <v>0.226786535405864</v>
          </cell>
          <cell r="AG6">
            <v>485.744973</v>
          </cell>
          <cell r="AH6">
            <v>35.445475</v>
          </cell>
          <cell r="AI6">
            <v>0.0729713676316317</v>
          </cell>
          <cell r="AJ6">
            <v>478.198434</v>
          </cell>
          <cell r="AK6">
            <v>61.098945</v>
          </cell>
          <cell r="AL6">
            <v>0.127769019419248</v>
          </cell>
        </row>
        <row r="7">
          <cell r="AB7" t="str">
            <v>滨湖</v>
          </cell>
          <cell r="AC7">
            <v>514.230069</v>
          </cell>
          <cell r="AD7">
            <v>361.162901</v>
          </cell>
          <cell r="AE7">
            <v>140.582675</v>
          </cell>
          <cell r="AF7">
            <v>0.389250043708116</v>
          </cell>
          <cell r="AG7">
            <v>91.840457</v>
          </cell>
          <cell r="AH7">
            <v>19.368216</v>
          </cell>
          <cell r="AI7">
            <v>0.210889804261318</v>
          </cell>
          <cell r="AJ7">
            <v>61.226711</v>
          </cell>
          <cell r="AK7">
            <v>5.599532</v>
          </cell>
          <cell r="AL7">
            <v>0.091455704684186</v>
          </cell>
        </row>
        <row r="8">
          <cell r="AB8" t="str">
            <v>阜阳</v>
          </cell>
          <cell r="AC8">
            <v>360.334728</v>
          </cell>
          <cell r="AD8">
            <v>280.59558</v>
          </cell>
          <cell r="AE8">
            <v>105.68561</v>
          </cell>
          <cell r="AF8">
            <v>0.376647451110955</v>
          </cell>
          <cell r="AG8">
            <v>79.057741</v>
          </cell>
          <cell r="AH8">
            <v>17.28289</v>
          </cell>
          <cell r="AI8">
            <v>0.218610977007299</v>
          </cell>
          <cell r="AJ8">
            <v>0.681407</v>
          </cell>
          <cell r="AK8">
            <v>0.064536</v>
          </cell>
          <cell r="AL8">
            <v>0.0947099163935798</v>
          </cell>
        </row>
        <row r="9">
          <cell r="AB9" t="str">
            <v>贵阳</v>
          </cell>
          <cell r="AC9">
            <v>2093.751989</v>
          </cell>
          <cell r="AD9">
            <v>1151.716804</v>
          </cell>
          <cell r="AE9">
            <v>396.007533</v>
          </cell>
          <cell r="AF9">
            <v>0.343841065463867</v>
          </cell>
          <cell r="AG9">
            <v>481.881718999999</v>
          </cell>
          <cell r="AH9">
            <v>27.260711</v>
          </cell>
          <cell r="AI9">
            <v>0.0565713741051879</v>
          </cell>
          <cell r="AJ9">
            <v>460.153466</v>
          </cell>
          <cell r="AK9">
            <v>19.940962</v>
          </cell>
          <cell r="AL9">
            <v>0.0433354597398599</v>
          </cell>
        </row>
        <row r="10">
          <cell r="AB10" t="str">
            <v>昆明</v>
          </cell>
          <cell r="AC10">
            <v>269.514583</v>
          </cell>
          <cell r="AD10">
            <v>194.771351</v>
          </cell>
          <cell r="AE10">
            <v>102.320842</v>
          </cell>
          <cell r="AF10">
            <v>0.525338256754198</v>
          </cell>
          <cell r="AG10">
            <v>52.1392300000001</v>
          </cell>
          <cell r="AH10">
            <v>5.658802</v>
          </cell>
          <cell r="AI10">
            <v>0.108532519563484</v>
          </cell>
          <cell r="AJ10">
            <v>22.604002</v>
          </cell>
          <cell r="AK10">
            <v>0.054424</v>
          </cell>
          <cell r="AL10">
            <v>0.00240771523555873</v>
          </cell>
        </row>
        <row r="11">
          <cell r="AB11" t="str">
            <v>连江</v>
          </cell>
          <cell r="AC11">
            <v>4258.8</v>
          </cell>
          <cell r="AD11">
            <v>2110.03</v>
          </cell>
          <cell r="AE11">
            <v>787.8</v>
          </cell>
          <cell r="AF11">
            <v>0.37335962047933</v>
          </cell>
          <cell r="AG11">
            <v>1242.75</v>
          </cell>
          <cell r="AH11">
            <v>107.83</v>
          </cell>
          <cell r="AI11">
            <v>0.0867672500502917</v>
          </cell>
          <cell r="AJ11">
            <v>906.02</v>
          </cell>
          <cell r="AK11">
            <v>38.88</v>
          </cell>
          <cell r="AL11">
            <v>0.0429129599788084</v>
          </cell>
        </row>
        <row r="12">
          <cell r="AB12" t="str">
            <v>罗源</v>
          </cell>
          <cell r="AC12">
            <v>2472.891723</v>
          </cell>
          <cell r="AD12">
            <v>1749.556572</v>
          </cell>
          <cell r="AE12">
            <v>1045.527246</v>
          </cell>
          <cell r="AF12">
            <v>0.597595563774659</v>
          </cell>
          <cell r="AG12">
            <v>546.818069</v>
          </cell>
          <cell r="AH12">
            <v>115.76631</v>
          </cell>
          <cell r="AI12">
            <v>0.211709006272798</v>
          </cell>
          <cell r="AJ12">
            <v>176.517082</v>
          </cell>
          <cell r="AK12">
            <v>25.85532</v>
          </cell>
          <cell r="AL12">
            <v>0.146474889042183</v>
          </cell>
        </row>
        <row r="13">
          <cell r="AB13" t="str">
            <v>闽江</v>
          </cell>
          <cell r="AC13">
            <v>460.18</v>
          </cell>
          <cell r="AD13">
            <v>372.01</v>
          </cell>
          <cell r="AE13">
            <v>205.64</v>
          </cell>
          <cell r="AF13">
            <v>0.552780839224752</v>
          </cell>
          <cell r="AG13">
            <v>62.3799999999997</v>
          </cell>
          <cell r="AH13">
            <v>6.98</v>
          </cell>
          <cell r="AI13">
            <v>0.111894838089132</v>
          </cell>
          <cell r="AJ13">
            <v>25.79</v>
          </cell>
          <cell r="AK13">
            <v>1.052</v>
          </cell>
          <cell r="AL13">
            <v>0.0407910042652191</v>
          </cell>
        </row>
        <row r="14">
          <cell r="AB14" t="str">
            <v>宁波</v>
          </cell>
          <cell r="AC14">
            <v>2707.05</v>
          </cell>
          <cell r="AD14">
            <v>1996.73</v>
          </cell>
          <cell r="AE14">
            <v>555.063957</v>
          </cell>
          <cell r="AF14">
            <v>0.277986486405273</v>
          </cell>
          <cell r="AG14">
            <v>573.53</v>
          </cell>
          <cell r="AH14">
            <v>86.76471</v>
          </cell>
          <cell r="AI14">
            <v>0.151281903300612</v>
          </cell>
          <cell r="AJ14">
            <v>136.79</v>
          </cell>
          <cell r="AK14">
            <v>14.627938</v>
          </cell>
          <cell r="AL14">
            <v>0.106937188390964</v>
          </cell>
        </row>
        <row r="15">
          <cell r="AB15" t="str">
            <v>腾冲</v>
          </cell>
          <cell r="AC15">
            <v>627.348516</v>
          </cell>
          <cell r="AD15">
            <v>252.145347</v>
          </cell>
          <cell r="AE15">
            <v>66.537522</v>
          </cell>
          <cell r="AF15">
            <v>0.263885583421058</v>
          </cell>
          <cell r="AG15">
            <v>192.139426</v>
          </cell>
          <cell r="AH15">
            <v>18.899042</v>
          </cell>
          <cell r="AI15">
            <v>0.0983610828524074</v>
          </cell>
          <cell r="AJ15">
            <v>183.063743</v>
          </cell>
          <cell r="AK15">
            <v>8.725861</v>
          </cell>
          <cell r="AL15">
            <v>0.0476656975160832</v>
          </cell>
        </row>
        <row r="16">
          <cell r="AB16" t="str">
            <v>长沙</v>
          </cell>
          <cell r="AC16">
            <v>1559.877903</v>
          </cell>
          <cell r="AD16">
            <v>506.889661</v>
          </cell>
          <cell r="AE16">
            <v>134.719564</v>
          </cell>
          <cell r="AF16">
            <v>0.265776902480558</v>
          </cell>
          <cell r="AG16">
            <v>321.635762</v>
          </cell>
          <cell r="AH16">
            <v>20.36503</v>
          </cell>
          <cell r="AI16">
            <v>0.0633170573861746</v>
          </cell>
          <cell r="AJ16">
            <v>731.35248</v>
          </cell>
          <cell r="AK16">
            <v>12.192425</v>
          </cell>
          <cell r="AL16">
            <v>0.0166710653664564</v>
          </cell>
        </row>
        <row r="17">
          <cell r="AB17" t="str">
            <v>广州</v>
          </cell>
          <cell r="AC17">
            <v>0</v>
          </cell>
          <cell r="AD17">
            <v>0</v>
          </cell>
          <cell r="AE17">
            <v>0</v>
          </cell>
          <cell r="AF17" t="e">
            <v>#DIV/0!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 t="e">
            <v>#DIV/0!</v>
          </cell>
        </row>
        <row r="21">
          <cell r="AB21" t="str">
            <v>公司</v>
          </cell>
          <cell r="AC21" t="str">
            <v>应收总额</v>
          </cell>
          <cell r="AD21" t="str">
            <v>1年以内</v>
          </cell>
        </row>
        <row r="21">
          <cell r="AG21" t="str">
            <v>2-3年</v>
          </cell>
        </row>
        <row r="21">
          <cell r="AJ21" t="str">
            <v>3年以上</v>
          </cell>
        </row>
        <row r="22">
          <cell r="AD22" t="str">
            <v>应收</v>
          </cell>
          <cell r="AE22" t="str">
            <v>实收</v>
          </cell>
          <cell r="AF22" t="str">
            <v>收费率</v>
          </cell>
          <cell r="AG22" t="str">
            <v>应收</v>
          </cell>
          <cell r="AH22" t="str">
            <v>实收</v>
          </cell>
          <cell r="AI22" t="str">
            <v>收费率</v>
          </cell>
          <cell r="AJ22" t="str">
            <v>应收</v>
          </cell>
          <cell r="AK22" t="str">
            <v>实收</v>
          </cell>
          <cell r="AL22" t="str">
            <v>收费率</v>
          </cell>
        </row>
        <row r="23">
          <cell r="AB23" t="str">
            <v>版纳</v>
          </cell>
          <cell r="AC23">
            <v>751.742873</v>
          </cell>
          <cell r="AD23">
            <v>363.947446</v>
          </cell>
          <cell r="AE23">
            <v>70.345527</v>
          </cell>
          <cell r="AF23">
            <v>0.193284848604213</v>
          </cell>
          <cell r="AG23">
            <v>243.83659</v>
          </cell>
          <cell r="AH23">
            <v>17.240315</v>
          </cell>
          <cell r="AI23">
            <v>0.0707043803393084</v>
          </cell>
          <cell r="AJ23">
            <v>143.958837</v>
          </cell>
          <cell r="AK23">
            <v>4.641128</v>
          </cell>
          <cell r="AL23">
            <v>0.0322392712855828</v>
          </cell>
        </row>
        <row r="24">
          <cell r="AB24" t="str">
            <v>北城</v>
          </cell>
          <cell r="AC24">
            <v>1791.256341</v>
          </cell>
          <cell r="AD24">
            <v>852.531957</v>
          </cell>
          <cell r="AE24">
            <v>259.604981</v>
          </cell>
          <cell r="AF24">
            <v>0.30451055689869</v>
          </cell>
          <cell r="AG24">
            <v>604.336373</v>
          </cell>
          <cell r="AH24">
            <v>57.530853</v>
          </cell>
          <cell r="AI24">
            <v>0.0951967407065204</v>
          </cell>
          <cell r="AJ24">
            <v>334.388011</v>
          </cell>
          <cell r="AK24">
            <v>8.41669</v>
          </cell>
          <cell r="AL24">
            <v>0.0251704299290802</v>
          </cell>
        </row>
        <row r="25">
          <cell r="AB25" t="str">
            <v>北京</v>
          </cell>
          <cell r="AC25">
            <v>1925.821446</v>
          </cell>
          <cell r="AD25">
            <v>771.598732</v>
          </cell>
          <cell r="AE25">
            <v>123.072746</v>
          </cell>
          <cell r="AF25">
            <v>0.159503561755464</v>
          </cell>
          <cell r="AG25">
            <v>707.336925</v>
          </cell>
          <cell r="AH25">
            <v>27.775828</v>
          </cell>
          <cell r="AI25">
            <v>0.0392681719535566</v>
          </cell>
          <cell r="AJ25">
            <v>446.885789</v>
          </cell>
          <cell r="AK25">
            <v>10.387854</v>
          </cell>
          <cell r="AL25">
            <v>0.0232449862038464</v>
          </cell>
        </row>
        <row r="26">
          <cell r="AB26" t="str">
            <v>滨湖</v>
          </cell>
          <cell r="AC26">
            <v>676.393222</v>
          </cell>
          <cell r="AD26">
            <v>436.97893</v>
          </cell>
          <cell r="AE26">
            <v>133.72</v>
          </cell>
          <cell r="AF26">
            <v>0.306010177653188</v>
          </cell>
          <cell r="AG26">
            <v>229.205172</v>
          </cell>
          <cell r="AH26">
            <v>31.47</v>
          </cell>
          <cell r="AI26">
            <v>0.137300566673077</v>
          </cell>
          <cell r="AJ26">
            <v>10.20912</v>
          </cell>
          <cell r="AK26">
            <v>1.47</v>
          </cell>
          <cell r="AL26">
            <v>0.143988904038742</v>
          </cell>
        </row>
        <row r="27">
          <cell r="AB27" t="str">
            <v>阜阳</v>
          </cell>
          <cell r="AC27">
            <v>235.83292</v>
          </cell>
          <cell r="AD27">
            <v>202.063478</v>
          </cell>
          <cell r="AE27">
            <v>135.165284</v>
          </cell>
          <cell r="AF27">
            <v>0.668924861325014</v>
          </cell>
          <cell r="AG27">
            <v>33.769442</v>
          </cell>
          <cell r="AH27">
            <v>6.685787</v>
          </cell>
          <cell r="AI27">
            <v>0.197983342454992</v>
          </cell>
          <cell r="AJ27">
            <v>0</v>
          </cell>
          <cell r="AK27">
            <v>0</v>
          </cell>
          <cell r="AL27" t="e">
            <v>#DIV/0!</v>
          </cell>
        </row>
        <row r="28">
          <cell r="AB28" t="str">
            <v>贵阳</v>
          </cell>
          <cell r="AC28">
            <v>1559.827468</v>
          </cell>
          <cell r="AD28">
            <v>862.040221</v>
          </cell>
          <cell r="AE28">
            <v>139.479428</v>
          </cell>
          <cell r="AF28">
            <v>0.161801531532019</v>
          </cell>
          <cell r="AG28">
            <v>567.030131</v>
          </cell>
          <cell r="AH28">
            <v>36.788132</v>
          </cell>
          <cell r="AI28">
            <v>0.0648786192986277</v>
          </cell>
          <cell r="AJ28">
            <v>130.757116</v>
          </cell>
          <cell r="AK28">
            <v>2.939088</v>
          </cell>
          <cell r="AL28">
            <v>0.022477461188422</v>
          </cell>
        </row>
        <row r="29">
          <cell r="AB29" t="str">
            <v>昆明</v>
          </cell>
          <cell r="AC29">
            <v>1462.949749</v>
          </cell>
          <cell r="AD29">
            <v>727.756951</v>
          </cell>
          <cell r="AE29">
            <v>151.669605</v>
          </cell>
          <cell r="AF29">
            <v>0.208406947939959</v>
          </cell>
          <cell r="AG29">
            <v>529.960588</v>
          </cell>
          <cell r="AH29">
            <v>28.056331</v>
          </cell>
          <cell r="AI29">
            <v>0.0529404103536846</v>
          </cell>
          <cell r="AJ29">
            <v>205.23221</v>
          </cell>
          <cell r="AK29">
            <v>3.703836</v>
          </cell>
          <cell r="AL29">
            <v>0.0180470502169226</v>
          </cell>
        </row>
        <row r="30">
          <cell r="AB30" t="str">
            <v>连江</v>
          </cell>
          <cell r="AC30">
            <v>83.536082</v>
          </cell>
          <cell r="AD30">
            <v>43.54</v>
          </cell>
          <cell r="AE30">
            <v>16.96</v>
          </cell>
          <cell r="AF30">
            <v>0.389526871841984</v>
          </cell>
          <cell r="AG30">
            <v>23.59</v>
          </cell>
          <cell r="AH30">
            <v>1.52</v>
          </cell>
          <cell r="AI30">
            <v>0.0644340822382365</v>
          </cell>
          <cell r="AJ30">
            <v>16.406082</v>
          </cell>
          <cell r="AK30">
            <v>0.38</v>
          </cell>
          <cell r="AL30">
            <v>0.0231621419422382</v>
          </cell>
        </row>
        <row r="31">
          <cell r="AB31" t="str">
            <v>罗源</v>
          </cell>
          <cell r="AC31">
            <v>244.413606</v>
          </cell>
          <cell r="AD31">
            <v>157.04686</v>
          </cell>
          <cell r="AE31">
            <v>85.809552</v>
          </cell>
          <cell r="AF31">
            <v>0.546394572931926</v>
          </cell>
          <cell r="AG31">
            <v>65.853913</v>
          </cell>
          <cell r="AH31">
            <v>9.819514</v>
          </cell>
          <cell r="AI31">
            <v>0.14911056234426</v>
          </cell>
          <cell r="AJ31">
            <v>21.512833</v>
          </cell>
          <cell r="AK31">
            <v>0.995679</v>
          </cell>
          <cell r="AL31">
            <v>0.0462830255782676</v>
          </cell>
        </row>
        <row r="32">
          <cell r="AB32" t="str">
            <v>闽江</v>
          </cell>
          <cell r="AC32">
            <v>223.46</v>
          </cell>
          <cell r="AD32">
            <v>142.74</v>
          </cell>
          <cell r="AE32">
            <v>51.75</v>
          </cell>
          <cell r="AF32">
            <v>0.362547288776797</v>
          </cell>
          <cell r="AG32">
            <v>56.7</v>
          </cell>
          <cell r="AH32">
            <v>6.69</v>
          </cell>
          <cell r="AI32">
            <v>0.117989417989418</v>
          </cell>
          <cell r="AJ32">
            <v>24.02</v>
          </cell>
          <cell r="AK32">
            <v>1.49</v>
          </cell>
          <cell r="AL32">
            <v>0.0620316402997502</v>
          </cell>
        </row>
        <row r="33">
          <cell r="AB33" t="str">
            <v>宁波</v>
          </cell>
          <cell r="AC33">
            <v>319.12</v>
          </cell>
          <cell r="AD33">
            <v>14.84</v>
          </cell>
          <cell r="AE33">
            <v>2.685916</v>
          </cell>
          <cell r="AF33">
            <v>0.180991644204852</v>
          </cell>
          <cell r="AG33">
            <v>304.28</v>
          </cell>
          <cell r="AH33">
            <v>2.413548</v>
          </cell>
          <cell r="AI33">
            <v>0.00793199684501117</v>
          </cell>
          <cell r="AJ33">
            <v>0</v>
          </cell>
          <cell r="AK33">
            <v>0</v>
          </cell>
          <cell r="AL33" t="e">
            <v>#DIV/0!</v>
          </cell>
        </row>
        <row r="34">
          <cell r="AB34" t="str">
            <v>腾冲</v>
          </cell>
          <cell r="AC34">
            <v>164.587348</v>
          </cell>
          <cell r="AD34">
            <v>112.564366</v>
          </cell>
          <cell r="AE34">
            <v>44.46674</v>
          </cell>
          <cell r="AF34">
            <v>0.395033895540264</v>
          </cell>
          <cell r="AG34">
            <v>44.051794</v>
          </cell>
          <cell r="AH34">
            <v>4.519763</v>
          </cell>
          <cell r="AI34">
            <v>0.102601110865088</v>
          </cell>
          <cell r="AJ34">
            <v>7.971188</v>
          </cell>
          <cell r="AK34">
            <v>0.276489</v>
          </cell>
          <cell r="AL34">
            <v>0.0346860467975413</v>
          </cell>
        </row>
        <row r="35">
          <cell r="AB35" t="str">
            <v>长沙</v>
          </cell>
          <cell r="AC35">
            <v>1101.601978</v>
          </cell>
          <cell r="AD35">
            <v>568.317471</v>
          </cell>
          <cell r="AE35">
            <v>35.482516</v>
          </cell>
          <cell r="AF35">
            <v>0.0624343220305469</v>
          </cell>
          <cell r="AG35">
            <v>507.289936</v>
          </cell>
          <cell r="AH35">
            <v>30.230277</v>
          </cell>
          <cell r="AI35">
            <v>0.0595917144313306</v>
          </cell>
          <cell r="AJ35">
            <v>25.994571</v>
          </cell>
          <cell r="AK35">
            <v>0.592348</v>
          </cell>
          <cell r="AL35">
            <v>0.0227873735635029</v>
          </cell>
        </row>
        <row r="36">
          <cell r="AB36" t="str">
            <v>广州</v>
          </cell>
          <cell r="AC36">
            <v>0</v>
          </cell>
          <cell r="AD36">
            <v>0</v>
          </cell>
          <cell r="AE36">
            <v>0</v>
          </cell>
          <cell r="AF36" t="e">
            <v>#DIV/0!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 t="e">
            <v>#DIV/0!</v>
          </cell>
        </row>
        <row r="53">
          <cell r="AB53" t="str">
            <v>望辰府</v>
          </cell>
          <cell r="AC53">
            <v>397.62</v>
          </cell>
          <cell r="AD53">
            <v>312.5</v>
          </cell>
          <cell r="AE53">
            <v>34.837677</v>
          </cell>
          <cell r="AF53">
            <v>0.1114805664</v>
          </cell>
          <cell r="AG53">
            <v>85.12</v>
          </cell>
          <cell r="AH53">
            <v>10.414512</v>
          </cell>
          <cell r="AI53">
            <v>0.122350939849624</v>
          </cell>
          <cell r="AJ53">
            <v>0</v>
          </cell>
          <cell r="AK53">
            <v>0</v>
          </cell>
        </row>
        <row r="54">
          <cell r="AB54" t="str">
            <v>都会文澜</v>
          </cell>
          <cell r="AC54">
            <v>643.88</v>
          </cell>
          <cell r="AD54">
            <v>505.8</v>
          </cell>
          <cell r="AE54">
            <v>101.176906</v>
          </cell>
          <cell r="AF54">
            <v>0.200033424278371</v>
          </cell>
          <cell r="AG54">
            <v>138.08</v>
          </cell>
          <cell r="AH54">
            <v>17.568221</v>
          </cell>
          <cell r="AI54">
            <v>0.127232191483198</v>
          </cell>
          <cell r="AJ54">
            <v>0</v>
          </cell>
          <cell r="AK54">
            <v>0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1-3月"/>
      <sheetName val="2025年1-5月历欠数据（原）"/>
      <sheetName val="2025年1-5月历欠数据"/>
      <sheetName val="数据透视"/>
      <sheetName val="基础指标"/>
      <sheetName val="全口径"/>
      <sheetName val="Sheet2"/>
      <sheetName val="罗源数据分析"/>
      <sheetName val="应收分析PPT"/>
      <sheetName val="季度PPT1"/>
    </sheetNames>
    <sheetDataSet>
      <sheetData sheetId="0"/>
      <sheetData sheetId="1"/>
      <sheetData sheetId="2"/>
      <sheetData sheetId="3"/>
      <sheetData sheetId="4">
        <row r="2">
          <cell r="Y2" t="str">
            <v>公司</v>
          </cell>
          <cell r="Z2" t="str">
            <v>应收总额</v>
          </cell>
          <cell r="AA2" t="str">
            <v>1年以内</v>
          </cell>
        </row>
        <row r="2">
          <cell r="AD2" t="str">
            <v>2-3年</v>
          </cell>
        </row>
        <row r="2">
          <cell r="AG2" t="str">
            <v>3年以上</v>
          </cell>
        </row>
        <row r="3">
          <cell r="AA3" t="str">
            <v>应收</v>
          </cell>
          <cell r="AB3" t="str">
            <v>实收</v>
          </cell>
          <cell r="AC3" t="str">
            <v>收费率</v>
          </cell>
          <cell r="AD3" t="str">
            <v>应收</v>
          </cell>
          <cell r="AE3" t="str">
            <v>实收</v>
          </cell>
          <cell r="AF3" t="str">
            <v>收费率</v>
          </cell>
          <cell r="AG3" t="str">
            <v>应收</v>
          </cell>
          <cell r="AH3" t="str">
            <v>实收</v>
          </cell>
          <cell r="AI3" t="str">
            <v>收费率</v>
          </cell>
        </row>
        <row r="4">
          <cell r="Y4" t="str">
            <v>版纳</v>
          </cell>
          <cell r="Z4">
            <v>1223.635394</v>
          </cell>
          <cell r="AA4">
            <v>575.2518</v>
          </cell>
          <cell r="AB4">
            <v>167.602944</v>
          </cell>
          <cell r="AC4">
            <v>0.291355792367794</v>
          </cell>
          <cell r="AD4">
            <v>340.686844</v>
          </cell>
          <cell r="AE4">
            <v>33.42944</v>
          </cell>
          <cell r="AF4">
            <v>0.0981236598616646</v>
          </cell>
          <cell r="AG4">
            <v>307.69675</v>
          </cell>
          <cell r="AH4">
            <v>18.756808</v>
          </cell>
          <cell r="AI4">
            <v>0.060958745908106</v>
          </cell>
        </row>
        <row r="5">
          <cell r="Y5" t="str">
            <v>北城</v>
          </cell>
          <cell r="Z5">
            <v>1330.696716</v>
          </cell>
          <cell r="AA5">
            <v>947.540774</v>
          </cell>
          <cell r="AB5">
            <v>272.234803</v>
          </cell>
          <cell r="AC5">
            <v>0.287306689558881</v>
          </cell>
          <cell r="AD5">
            <v>325.427113</v>
          </cell>
          <cell r="AE5">
            <v>49.126351</v>
          </cell>
          <cell r="AF5">
            <v>0.150959612882655</v>
          </cell>
          <cell r="AG5">
            <v>57.728829</v>
          </cell>
          <cell r="AH5">
            <v>7.805485</v>
          </cell>
          <cell r="AI5">
            <v>0.135209480864405</v>
          </cell>
        </row>
        <row r="6">
          <cell r="Y6" t="str">
            <v>北京</v>
          </cell>
          <cell r="Z6">
            <v>1890.004736</v>
          </cell>
          <cell r="AA6">
            <v>831.419011</v>
          </cell>
          <cell r="AB6">
            <v>238.200648</v>
          </cell>
          <cell r="AC6">
            <v>0.286498919135252</v>
          </cell>
          <cell r="AD6">
            <v>565.718525</v>
          </cell>
          <cell r="AE6">
            <v>56.101079</v>
          </cell>
          <cell r="AF6">
            <v>0.0991678308572271</v>
          </cell>
          <cell r="AG6">
            <v>492.8672</v>
          </cell>
          <cell r="AH6">
            <v>47.703012</v>
          </cell>
          <cell r="AI6">
            <v>0.0967867449893196</v>
          </cell>
        </row>
        <row r="7">
          <cell r="Y7" t="str">
            <v>滨湖</v>
          </cell>
          <cell r="Z7">
            <v>511.120547</v>
          </cell>
          <cell r="AA7">
            <v>376.976488</v>
          </cell>
          <cell r="AB7">
            <v>161.95</v>
          </cell>
          <cell r="AC7">
            <v>0.429602389420106</v>
          </cell>
          <cell r="AD7">
            <v>77.557081</v>
          </cell>
          <cell r="AE7">
            <v>11.52</v>
          </cell>
          <cell r="AF7">
            <v>0.148535760390466</v>
          </cell>
          <cell r="AG7">
            <v>56.586978</v>
          </cell>
          <cell r="AH7">
            <v>3.88</v>
          </cell>
          <cell r="AI7">
            <v>0.0685670120076036</v>
          </cell>
        </row>
        <row r="8">
          <cell r="Y8" t="str">
            <v>阜阳</v>
          </cell>
          <cell r="Z8">
            <v>316.540311</v>
          </cell>
          <cell r="AA8">
            <v>256.124144</v>
          </cell>
          <cell r="AB8">
            <v>101.50691</v>
          </cell>
          <cell r="AC8">
            <v>0.396319177156528</v>
          </cell>
          <cell r="AD8">
            <v>60.416167</v>
          </cell>
          <cell r="AE8">
            <v>10.77542</v>
          </cell>
          <cell r="AF8">
            <v>0.178353254353259</v>
          </cell>
          <cell r="AG8">
            <v>0</v>
          </cell>
          <cell r="AH8">
            <v>0</v>
          </cell>
          <cell r="AI8" t="e">
            <v>#DIV/0!</v>
          </cell>
        </row>
        <row r="9">
          <cell r="Y9" t="str">
            <v>贵阳</v>
          </cell>
          <cell r="Z9">
            <v>1848.73162</v>
          </cell>
          <cell r="AA9">
            <v>656.721117999999</v>
          </cell>
          <cell r="AB9">
            <v>201.180466</v>
          </cell>
          <cell r="AC9">
            <v>0.306340789851074</v>
          </cell>
          <cell r="AD9">
            <v>445.542412</v>
          </cell>
          <cell r="AE9">
            <v>25.944458</v>
          </cell>
          <cell r="AF9">
            <v>0.0582311746339426</v>
          </cell>
          <cell r="AG9">
            <v>746.46809</v>
          </cell>
          <cell r="AH9">
            <v>26.511342</v>
          </cell>
          <cell r="AI9">
            <v>0.0355157070411409</v>
          </cell>
        </row>
        <row r="10">
          <cell r="Y10" t="str">
            <v>昆明</v>
          </cell>
          <cell r="Z10">
            <v>287.123788</v>
          </cell>
          <cell r="AA10">
            <v>236.021612</v>
          </cell>
          <cell r="AB10">
            <v>122.003013</v>
          </cell>
          <cell r="AC10">
            <v>0.516914582381549</v>
          </cell>
          <cell r="AD10">
            <v>34.34192</v>
          </cell>
          <cell r="AE10">
            <v>2.287928</v>
          </cell>
          <cell r="AF10">
            <v>0.0666220176390837</v>
          </cell>
          <cell r="AG10">
            <v>16.760256</v>
          </cell>
          <cell r="AH10">
            <v>0.012</v>
          </cell>
          <cell r="AI10">
            <v>0.00071597951725797</v>
          </cell>
        </row>
        <row r="11">
          <cell r="Y11" t="str">
            <v>连江</v>
          </cell>
          <cell r="Z11">
            <v>3845.99</v>
          </cell>
          <cell r="AA11">
            <v>2047.58</v>
          </cell>
          <cell r="AB11">
            <v>831.66</v>
          </cell>
          <cell r="AC11">
            <v>0.406167280399301</v>
          </cell>
          <cell r="AD11">
            <v>1075.15</v>
          </cell>
          <cell r="AE11">
            <v>122.87</v>
          </cell>
          <cell r="AF11">
            <v>0.114281728130958</v>
          </cell>
          <cell r="AG11">
            <v>723.26</v>
          </cell>
          <cell r="AH11">
            <v>61.85</v>
          </cell>
          <cell r="AI11">
            <v>0.085515582224926</v>
          </cell>
        </row>
        <row r="12">
          <cell r="Y12" t="str">
            <v>罗源</v>
          </cell>
          <cell r="Z12">
            <v>2395.195534</v>
          </cell>
          <cell r="AA12">
            <v>1718.173794</v>
          </cell>
          <cell r="AB12">
            <v>1078.881674</v>
          </cell>
          <cell r="AC12">
            <v>0.627923483507629</v>
          </cell>
          <cell r="AD12">
            <v>489.31725</v>
          </cell>
          <cell r="AE12">
            <v>121.73945</v>
          </cell>
          <cell r="AF12">
            <v>0.24879451930215</v>
          </cell>
          <cell r="AG12">
            <v>187.70449</v>
          </cell>
          <cell r="AH12">
            <v>31.384834</v>
          </cell>
          <cell r="AI12">
            <v>0.167203427046417</v>
          </cell>
        </row>
        <row r="13">
          <cell r="Y13" t="str">
            <v>闽江</v>
          </cell>
          <cell r="Z13">
            <v>414</v>
          </cell>
          <cell r="AA13">
            <v>323.23</v>
          </cell>
          <cell r="AB13">
            <v>169.68</v>
          </cell>
          <cell r="AC13">
            <v>0.524951273087275</v>
          </cell>
          <cell r="AD13">
            <v>60.75</v>
          </cell>
          <cell r="AE13">
            <v>8.57</v>
          </cell>
          <cell r="AF13">
            <v>0.141069958847737</v>
          </cell>
          <cell r="AG13">
            <v>30.02</v>
          </cell>
          <cell r="AH13">
            <v>2.83</v>
          </cell>
          <cell r="AI13">
            <v>0.0942704863424384</v>
          </cell>
        </row>
        <row r="14">
          <cell r="Y14" t="str">
            <v>宁波</v>
          </cell>
          <cell r="Z14">
            <v>1571.77</v>
          </cell>
          <cell r="AA14">
            <v>1195.14</v>
          </cell>
          <cell r="AB14">
            <v>378.01</v>
          </cell>
          <cell r="AC14">
            <v>0.316289305018659</v>
          </cell>
          <cell r="AD14">
            <v>276.37</v>
          </cell>
          <cell r="AE14">
            <v>28.93</v>
          </cell>
          <cell r="AF14">
            <v>0.104678510692188</v>
          </cell>
          <cell r="AG14">
            <v>100.26</v>
          </cell>
          <cell r="AH14">
            <v>7.01</v>
          </cell>
          <cell r="AI14">
            <v>0.0699182126471175</v>
          </cell>
        </row>
        <row r="15">
          <cell r="Y15" t="str">
            <v>腾冲</v>
          </cell>
          <cell r="Z15">
            <v>571.91669</v>
          </cell>
          <cell r="AA15">
            <v>235.566229</v>
          </cell>
          <cell r="AB15">
            <v>48.626346</v>
          </cell>
          <cell r="AC15">
            <v>0.206423247536046</v>
          </cell>
          <cell r="AD15">
            <v>180.211505</v>
          </cell>
          <cell r="AE15">
            <v>13.225258</v>
          </cell>
          <cell r="AF15">
            <v>0.0733874232946448</v>
          </cell>
          <cell r="AG15">
            <v>156.138956</v>
          </cell>
          <cell r="AH15">
            <v>8.632615</v>
          </cell>
          <cell r="AI15">
            <v>0.0552880281843309</v>
          </cell>
        </row>
        <row r="16">
          <cell r="Y16" t="str">
            <v>长沙</v>
          </cell>
          <cell r="Z16">
            <v>1525.671536</v>
          </cell>
          <cell r="AA16">
            <v>499.715043</v>
          </cell>
          <cell r="AB16">
            <v>134.562819</v>
          </cell>
          <cell r="AC16">
            <v>0.269279103931238</v>
          </cell>
          <cell r="AD16">
            <v>283.561748</v>
          </cell>
          <cell r="AE16">
            <v>32.70849</v>
          </cell>
          <cell r="AF16">
            <v>0.115348738786869</v>
          </cell>
          <cell r="AG16">
            <v>742.394745</v>
          </cell>
          <cell r="AH16">
            <v>35.284404</v>
          </cell>
          <cell r="AI16">
            <v>0.0475278202568635</v>
          </cell>
        </row>
        <row r="17">
          <cell r="Y17" t="str">
            <v>广州</v>
          </cell>
          <cell r="Z17">
            <v>130.687454</v>
          </cell>
          <cell r="AA17">
            <v>130.687454</v>
          </cell>
          <cell r="AB17">
            <v>130.687453</v>
          </cell>
          <cell r="AC17">
            <v>0.999999992348156</v>
          </cell>
          <cell r="AD17">
            <v>0</v>
          </cell>
          <cell r="AE17">
            <v>0</v>
          </cell>
          <cell r="AF17" t="e">
            <v>#DIV/0!</v>
          </cell>
          <cell r="AG17">
            <v>0</v>
          </cell>
          <cell r="AH17">
            <v>0</v>
          </cell>
          <cell r="AI17" t="e">
            <v>#DIV/0!</v>
          </cell>
        </row>
        <row r="21">
          <cell r="Y21" t="str">
            <v>公司</v>
          </cell>
          <cell r="Z21" t="str">
            <v>应收总额</v>
          </cell>
          <cell r="AA21" t="str">
            <v>1年以内</v>
          </cell>
        </row>
        <row r="21">
          <cell r="AD21" t="str">
            <v>2-3年</v>
          </cell>
        </row>
        <row r="21">
          <cell r="AG21" t="str">
            <v>3年以上</v>
          </cell>
        </row>
        <row r="22">
          <cell r="AA22" t="str">
            <v>应收</v>
          </cell>
          <cell r="AB22" t="str">
            <v>实收</v>
          </cell>
          <cell r="AC22" t="str">
            <v>收费率</v>
          </cell>
          <cell r="AD22" t="str">
            <v>应收</v>
          </cell>
          <cell r="AE22" t="str">
            <v>实收</v>
          </cell>
          <cell r="AF22" t="str">
            <v>收费率</v>
          </cell>
          <cell r="AG22" t="str">
            <v>应收</v>
          </cell>
          <cell r="AH22" t="str">
            <v>实收</v>
          </cell>
          <cell r="AI22" t="str">
            <v>收费率</v>
          </cell>
        </row>
        <row r="23">
          <cell r="Y23" t="str">
            <v>版纳</v>
          </cell>
          <cell r="Z23">
            <v>723.51885</v>
          </cell>
          <cell r="AA23">
            <v>347.6192</v>
          </cell>
          <cell r="AB23">
            <v>70.333655</v>
          </cell>
          <cell r="AC23">
            <v>0.202329603773324</v>
          </cell>
          <cell r="AD23">
            <v>232.00606</v>
          </cell>
          <cell r="AE23">
            <v>20.522295</v>
          </cell>
          <cell r="AF23">
            <v>0.0884558575754444</v>
          </cell>
          <cell r="AG23">
            <v>143.89359</v>
          </cell>
          <cell r="AH23">
            <v>7.536102</v>
          </cell>
          <cell r="AI23">
            <v>0.0523727429415028</v>
          </cell>
        </row>
        <row r="24">
          <cell r="Y24" t="str">
            <v>北城</v>
          </cell>
          <cell r="Z24">
            <v>1803.430793</v>
          </cell>
          <cell r="AA24">
            <v>916.379341</v>
          </cell>
          <cell r="AB24">
            <v>237.319971</v>
          </cell>
          <cell r="AC24">
            <v>0.258975688759007</v>
          </cell>
          <cell r="AD24">
            <v>630.941497</v>
          </cell>
          <cell r="AE24">
            <v>62.364382</v>
          </cell>
          <cell r="AF24">
            <v>0.0988433670895481</v>
          </cell>
          <cell r="AG24">
            <v>256.109955</v>
          </cell>
          <cell r="AH24">
            <v>15.706511</v>
          </cell>
          <cell r="AI24">
            <v>0.0613272178350115</v>
          </cell>
        </row>
        <row r="25">
          <cell r="Y25" t="str">
            <v>北京</v>
          </cell>
          <cell r="Z25">
            <v>1884.723465</v>
          </cell>
          <cell r="AA25">
            <v>843.536233</v>
          </cell>
          <cell r="AB25">
            <v>134.879166</v>
          </cell>
          <cell r="AC25">
            <v>0.159897299870935</v>
          </cell>
          <cell r="AD25">
            <v>785.608865</v>
          </cell>
          <cell r="AE25">
            <v>48.823193</v>
          </cell>
          <cell r="AF25">
            <v>0.0621469476416868</v>
          </cell>
          <cell r="AG25">
            <v>255.578367</v>
          </cell>
          <cell r="AH25">
            <v>13.372065</v>
          </cell>
          <cell r="AI25">
            <v>0.0523208014706503</v>
          </cell>
        </row>
        <row r="26">
          <cell r="Y26" t="str">
            <v>滨湖</v>
          </cell>
          <cell r="Z26">
            <v>519.88</v>
          </cell>
          <cell r="AA26">
            <v>387.59</v>
          </cell>
          <cell r="AB26">
            <v>107.23</v>
          </cell>
          <cell r="AC26">
            <v>0.276658324518176</v>
          </cell>
          <cell r="AD26">
            <v>132.09</v>
          </cell>
          <cell r="AE26">
            <v>13.66</v>
          </cell>
          <cell r="AF26">
            <v>0.103414338708456</v>
          </cell>
          <cell r="AG26">
            <v>0.2</v>
          </cell>
          <cell r="AH26">
            <v>0.05</v>
          </cell>
          <cell r="AI26">
            <v>0.25</v>
          </cell>
        </row>
        <row r="27">
          <cell r="Y27" t="str">
            <v>阜阳</v>
          </cell>
          <cell r="Z27">
            <v>403.629873</v>
          </cell>
          <cell r="AA27">
            <v>389.465245</v>
          </cell>
          <cell r="AB27">
            <v>159.484921</v>
          </cell>
          <cell r="AC27">
            <v>0.409497183760261</v>
          </cell>
          <cell r="AD27">
            <v>14.164628</v>
          </cell>
          <cell r="AE27">
            <v>1.892335</v>
          </cell>
          <cell r="AF27">
            <v>0.133595813458709</v>
          </cell>
          <cell r="AG27">
            <v>0</v>
          </cell>
          <cell r="AH27">
            <v>0</v>
          </cell>
          <cell r="AI27" t="e">
            <v>#DIV/0!</v>
          </cell>
        </row>
        <row r="28">
          <cell r="Y28" t="str">
            <v>贵阳</v>
          </cell>
          <cell r="Z28">
            <v>1385.566734</v>
          </cell>
          <cell r="AA28">
            <v>907.843172</v>
          </cell>
          <cell r="AB28">
            <v>197.345511</v>
          </cell>
          <cell r="AC28">
            <v>0.217378416324092</v>
          </cell>
          <cell r="AD28">
            <v>374.700694</v>
          </cell>
          <cell r="AE28">
            <v>31.483331</v>
          </cell>
          <cell r="AF28">
            <v>0.0840226119250262</v>
          </cell>
          <cell r="AG28">
            <v>103.022868</v>
          </cell>
          <cell r="AH28">
            <v>1.816924</v>
          </cell>
          <cell r="AI28">
            <v>0.0176361232731358</v>
          </cell>
        </row>
        <row r="29">
          <cell r="Y29" t="str">
            <v>昆明</v>
          </cell>
          <cell r="Z29">
            <v>1425.546894</v>
          </cell>
          <cell r="AA29">
            <v>704.786465</v>
          </cell>
          <cell r="AB29">
            <v>193.020512</v>
          </cell>
          <cell r="AC29">
            <v>0.273870912092502</v>
          </cell>
          <cell r="AD29">
            <v>553.562657</v>
          </cell>
          <cell r="AE29">
            <v>43.721664</v>
          </cell>
          <cell r="AF29">
            <v>0.078982321959626</v>
          </cell>
          <cell r="AG29">
            <v>167.197772</v>
          </cell>
          <cell r="AH29">
            <v>4.454444</v>
          </cell>
          <cell r="AI29">
            <v>0.0266417664943526</v>
          </cell>
        </row>
        <row r="30">
          <cell r="Y30" t="str">
            <v>连江</v>
          </cell>
          <cell r="Z30">
            <v>70.29</v>
          </cell>
          <cell r="AA30">
            <v>37.69</v>
          </cell>
          <cell r="AB30">
            <v>15.91</v>
          </cell>
          <cell r="AC30">
            <v>0.422127885380738</v>
          </cell>
          <cell r="AD30">
            <v>20.28</v>
          </cell>
          <cell r="AE30">
            <v>1.33</v>
          </cell>
          <cell r="AF30">
            <v>0.0655818540433925</v>
          </cell>
          <cell r="AG30">
            <v>12.32</v>
          </cell>
          <cell r="AH30">
            <v>0.46</v>
          </cell>
          <cell r="AI30">
            <v>0.0373376623376623</v>
          </cell>
        </row>
        <row r="31">
          <cell r="Y31" t="str">
            <v>罗源</v>
          </cell>
          <cell r="Z31">
            <v>7.92444</v>
          </cell>
          <cell r="AA31">
            <v>7.92444</v>
          </cell>
          <cell r="AB31">
            <v>3.919412</v>
          </cell>
          <cell r="AC31">
            <v>0.494597977901278</v>
          </cell>
          <cell r="AD31">
            <v>0</v>
          </cell>
          <cell r="AE31">
            <v>0</v>
          </cell>
          <cell r="AF31" t="e">
            <v>#DIV/0!</v>
          </cell>
          <cell r="AG31">
            <v>0</v>
          </cell>
          <cell r="AH31">
            <v>0</v>
          </cell>
          <cell r="AI31" t="e">
            <v>#DIV/0!</v>
          </cell>
        </row>
        <row r="32">
          <cell r="Y32" t="str">
            <v>闽江</v>
          </cell>
          <cell r="Z32">
            <v>0</v>
          </cell>
          <cell r="AA32">
            <v>0</v>
          </cell>
          <cell r="AB32">
            <v>0</v>
          </cell>
          <cell r="AC32" t="e">
            <v>#DIV/0!</v>
          </cell>
          <cell r="AD32">
            <v>0</v>
          </cell>
          <cell r="AE32">
            <v>0</v>
          </cell>
          <cell r="AF32" t="e">
            <v>#DIV/0!</v>
          </cell>
          <cell r="AG32">
            <v>0</v>
          </cell>
          <cell r="AH32">
            <v>0</v>
          </cell>
          <cell r="AI32" t="e">
            <v>#DIV/0!</v>
          </cell>
        </row>
        <row r="33">
          <cell r="Y33" t="str">
            <v>宁波</v>
          </cell>
          <cell r="Z33">
            <v>627.51</v>
          </cell>
          <cell r="AA33">
            <v>493.42</v>
          </cell>
          <cell r="AB33">
            <v>112.77</v>
          </cell>
          <cell r="AC33">
            <v>0.2285476875684</v>
          </cell>
          <cell r="AD33">
            <v>103.61</v>
          </cell>
          <cell r="AE33">
            <v>1.75</v>
          </cell>
          <cell r="AF33">
            <v>0.0168902615577647</v>
          </cell>
          <cell r="AG33">
            <v>30.48</v>
          </cell>
          <cell r="AH33">
            <v>0.19</v>
          </cell>
          <cell r="AI33">
            <v>0.00623359580052493</v>
          </cell>
        </row>
        <row r="34">
          <cell r="Y34" t="str">
            <v>腾冲</v>
          </cell>
          <cell r="Z34">
            <v>290.859191</v>
          </cell>
          <cell r="AA34">
            <v>135.377737</v>
          </cell>
          <cell r="AB34">
            <v>34.668519</v>
          </cell>
          <cell r="AC34">
            <v>0.256087298903512</v>
          </cell>
          <cell r="AD34">
            <v>128.329803</v>
          </cell>
          <cell r="AE34">
            <v>10.076575</v>
          </cell>
          <cell r="AF34">
            <v>0.0785209262730654</v>
          </cell>
          <cell r="AG34">
            <v>27.151651</v>
          </cell>
          <cell r="AH34">
            <v>0.806386</v>
          </cell>
          <cell r="AI34">
            <v>0.0296993357788814</v>
          </cell>
        </row>
        <row r="35">
          <cell r="Y35" t="str">
            <v>长沙</v>
          </cell>
          <cell r="Z35">
            <v>1222.290047</v>
          </cell>
          <cell r="AA35">
            <v>707.448031</v>
          </cell>
          <cell r="AB35">
            <v>90.664289</v>
          </cell>
          <cell r="AC35">
            <v>0.128156818631389</v>
          </cell>
          <cell r="AD35">
            <v>419.221485</v>
          </cell>
          <cell r="AE35">
            <v>23.601361</v>
          </cell>
          <cell r="AF35">
            <v>0.056298071173523</v>
          </cell>
          <cell r="AG35">
            <v>95.620531</v>
          </cell>
          <cell r="AH35">
            <v>4.903562</v>
          </cell>
          <cell r="AI35">
            <v>0.0512814763599253</v>
          </cell>
        </row>
        <row r="36">
          <cell r="Y36" t="str">
            <v>广州</v>
          </cell>
          <cell r="Z36">
            <v>0</v>
          </cell>
          <cell r="AA36">
            <v>0</v>
          </cell>
          <cell r="AB36">
            <v>0</v>
          </cell>
          <cell r="AC36" t="e">
            <v>#DIV/0!</v>
          </cell>
          <cell r="AD36">
            <v>0</v>
          </cell>
          <cell r="AE36">
            <v>0</v>
          </cell>
          <cell r="AF36" t="e">
            <v>#DIV/0!</v>
          </cell>
          <cell r="AG36">
            <v>0</v>
          </cell>
          <cell r="AH36">
            <v>0</v>
          </cell>
          <cell r="AI36" t="e">
            <v>#DIV/0!</v>
          </cell>
        </row>
        <row r="53">
          <cell r="Y53" t="str">
            <v>望辰府</v>
          </cell>
          <cell r="Z53">
            <v>167.31</v>
          </cell>
          <cell r="AA53">
            <v>166.41</v>
          </cell>
          <cell r="AB53">
            <v>38.96</v>
          </cell>
          <cell r="AC53">
            <v>0.234120545640286</v>
          </cell>
          <cell r="AD53">
            <v>0.899999999999999</v>
          </cell>
          <cell r="AE53">
            <v>0.45</v>
          </cell>
          <cell r="AF53">
            <v>0.500000000000001</v>
          </cell>
          <cell r="AG53">
            <v>0</v>
          </cell>
          <cell r="AH53">
            <v>0</v>
          </cell>
        </row>
        <row r="54">
          <cell r="Y54" t="str">
            <v>都会文澜</v>
          </cell>
          <cell r="Z54">
            <v>223.91</v>
          </cell>
          <cell r="AA54">
            <v>216.9</v>
          </cell>
          <cell r="AB54">
            <v>55.56</v>
          </cell>
          <cell r="AC54">
            <v>0.256154910096819</v>
          </cell>
          <cell r="AD54">
            <v>7.01</v>
          </cell>
          <cell r="AE54">
            <v>2.15</v>
          </cell>
          <cell r="AF54">
            <v>0.306704707560628</v>
          </cell>
          <cell r="AG54">
            <v>0</v>
          </cell>
          <cell r="AH54">
            <v>0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B4" t="str">
            <v>北京</v>
          </cell>
          <cell r="C4">
            <v>1562.05772451076</v>
          </cell>
          <cell r="D4">
            <v>1642.4747039715</v>
          </cell>
          <cell r="E4">
            <v>80.4169794607401</v>
          </cell>
          <cell r="F4">
            <v>595.0289436</v>
          </cell>
          <cell r="G4">
            <v>0.380926347511494</v>
          </cell>
          <cell r="H4">
            <v>0.362275864682251</v>
          </cell>
          <cell r="I4">
            <v>1396.77466425</v>
          </cell>
          <cell r="J4">
            <v>1642.4747039715</v>
          </cell>
          <cell r="K4">
            <v>1.17590528093766</v>
          </cell>
          <cell r="L4">
            <v>651.3146953215</v>
          </cell>
          <cell r="M4">
            <v>-56.2857517215</v>
          </cell>
          <cell r="N4">
            <v>602.54</v>
          </cell>
          <cell r="O4">
            <v>237</v>
          </cell>
        </row>
        <row r="5">
          <cell r="B5" t="str">
            <v>宁波</v>
          </cell>
          <cell r="C5">
            <v>392.4034023</v>
          </cell>
          <cell r="D5">
            <v>412.925833032804</v>
          </cell>
          <cell r="E5">
            <v>20.522430732804</v>
          </cell>
          <cell r="F5">
            <v>195.13466175</v>
          </cell>
          <cell r="G5">
            <v>0.497280759051156</v>
          </cell>
          <cell r="H5">
            <v>0.472565885056889</v>
          </cell>
          <cell r="I5">
            <v>340.6854402</v>
          </cell>
          <cell r="J5">
            <v>412.925833032804</v>
          </cell>
          <cell r="K5">
            <v>1.21204426226843</v>
          </cell>
          <cell r="L5">
            <v>165.6591888</v>
          </cell>
          <cell r="M5">
            <v>29.47547295</v>
          </cell>
          <cell r="N5">
            <v>150</v>
          </cell>
          <cell r="O5">
            <v>50</v>
          </cell>
        </row>
        <row r="6">
          <cell r="B6" t="str">
            <v>长沙</v>
          </cell>
          <cell r="C6">
            <v>661.00419525</v>
          </cell>
          <cell r="D6">
            <v>661.00419525</v>
          </cell>
          <cell r="E6">
            <v>0</v>
          </cell>
          <cell r="F6">
            <v>222.49288005</v>
          </cell>
          <cell r="G6">
            <v>0.336598287346498</v>
          </cell>
          <cell r="H6">
            <v>0.336598287346498</v>
          </cell>
          <cell r="I6">
            <v>716.8770273</v>
          </cell>
          <cell r="J6">
            <v>614.49591735</v>
          </cell>
          <cell r="K6">
            <v>0.857184557391103</v>
          </cell>
          <cell r="L6">
            <v>245.0868882</v>
          </cell>
          <cell r="M6">
            <v>-22.59400815</v>
          </cell>
          <cell r="N6">
            <v>286.63</v>
          </cell>
          <cell r="O6">
            <v>32</v>
          </cell>
        </row>
        <row r="7">
          <cell r="B7" t="str">
            <v>版纳</v>
          </cell>
          <cell r="C7">
            <v>239.489876850012</v>
          </cell>
          <cell r="D7">
            <v>280.6705755</v>
          </cell>
          <cell r="E7">
            <v>41.180698649988</v>
          </cell>
          <cell r="F7">
            <v>127.88336715</v>
          </cell>
          <cell r="G7">
            <v>0.533982349617604</v>
          </cell>
          <cell r="H7">
            <v>0.455635105041497</v>
          </cell>
          <cell r="I7">
            <v>256.16548755</v>
          </cell>
          <cell r="J7">
            <v>280.6705755</v>
          </cell>
          <cell r="K7">
            <v>1.09566116101107</v>
          </cell>
          <cell r="L7">
            <v>94.3966275</v>
          </cell>
          <cell r="M7">
            <v>33.48673965</v>
          </cell>
          <cell r="N7">
            <v>94</v>
          </cell>
          <cell r="O7">
            <v>3</v>
          </cell>
        </row>
        <row r="8">
          <cell r="B8" t="str">
            <v>连江</v>
          </cell>
          <cell r="C8">
            <v>193.0000002</v>
          </cell>
          <cell r="D8">
            <v>289.7532792</v>
          </cell>
          <cell r="E8">
            <v>96.753279</v>
          </cell>
          <cell r="F8">
            <v>136.09905645</v>
          </cell>
          <cell r="G8">
            <v>0.705176457559403</v>
          </cell>
          <cell r="H8">
            <v>0.469706699526457</v>
          </cell>
          <cell r="I8">
            <v>180.60000105</v>
          </cell>
          <cell r="J8">
            <v>289.7532792</v>
          </cell>
          <cell r="K8">
            <v>1.60439245578842</v>
          </cell>
          <cell r="L8">
            <v>112.67161185</v>
          </cell>
          <cell r="M8">
            <v>23.4274446</v>
          </cell>
          <cell r="N8">
            <v>93</v>
          </cell>
          <cell r="O8">
            <v>7</v>
          </cell>
        </row>
        <row r="9">
          <cell r="B9" t="str">
            <v>滨湖</v>
          </cell>
          <cell r="C9">
            <v>501.9982254</v>
          </cell>
          <cell r="D9">
            <v>506</v>
          </cell>
          <cell r="E9">
            <v>4.00177459999998</v>
          </cell>
          <cell r="F9">
            <v>220.90802895</v>
          </cell>
          <cell r="G9">
            <v>0.440057390190926</v>
          </cell>
          <cell r="H9">
            <v>0.436577132312253</v>
          </cell>
          <cell r="I9">
            <v>456.7218516</v>
          </cell>
          <cell r="J9">
            <v>693.97782195</v>
          </cell>
          <cell r="K9">
            <v>1.5194758462264</v>
          </cell>
          <cell r="L9">
            <v>203.66992065</v>
          </cell>
          <cell r="M9">
            <v>17.2381083</v>
          </cell>
          <cell r="N9">
            <v>140.2</v>
          </cell>
          <cell r="O9">
            <v>15</v>
          </cell>
        </row>
        <row r="10">
          <cell r="B10" t="str">
            <v>腾冲</v>
          </cell>
          <cell r="C10">
            <v>100.25262555</v>
          </cell>
          <cell r="D10">
            <v>121.0967667</v>
          </cell>
          <cell r="E10">
            <v>20.84414115</v>
          </cell>
          <cell r="F10">
            <v>74.5564155</v>
          </cell>
          <cell r="G10">
            <v>0.743685415628499</v>
          </cell>
          <cell r="H10">
            <v>0.6156763514975</v>
          </cell>
          <cell r="I10">
            <v>49.35</v>
          </cell>
          <cell r="J10">
            <v>121.0967667</v>
          </cell>
          <cell r="K10">
            <v>2.45383519148936</v>
          </cell>
          <cell r="L10">
            <v>45.50111055</v>
          </cell>
          <cell r="M10">
            <v>29.05530495</v>
          </cell>
          <cell r="N10">
            <v>15.58</v>
          </cell>
          <cell r="O10">
            <v>5</v>
          </cell>
        </row>
        <row r="11">
          <cell r="B11" t="str">
            <v>罗源</v>
          </cell>
          <cell r="C11">
            <v>115.4434428</v>
          </cell>
          <cell r="D11">
            <v>159.07708005</v>
          </cell>
          <cell r="E11">
            <v>43.63363725</v>
          </cell>
          <cell r="F11">
            <v>60.55038255</v>
          </cell>
          <cell r="G11">
            <v>0.524502570968024</v>
          </cell>
          <cell r="H11">
            <v>0.380635491492352</v>
          </cell>
          <cell r="I11">
            <v>96.5999958</v>
          </cell>
          <cell r="J11">
            <v>159.07708005</v>
          </cell>
          <cell r="K11">
            <v>1.64676073464177</v>
          </cell>
          <cell r="L11">
            <v>64.47130935</v>
          </cell>
          <cell r="M11">
            <v>-3.9209268</v>
          </cell>
          <cell r="N11">
            <v>35.54</v>
          </cell>
          <cell r="O11">
            <v>9</v>
          </cell>
        </row>
        <row r="12">
          <cell r="B12" t="str">
            <v>贵阳</v>
          </cell>
          <cell r="C12">
            <v>810.02518065</v>
          </cell>
          <cell r="D12">
            <v>922.01720415</v>
          </cell>
          <cell r="E12">
            <v>111.9920235</v>
          </cell>
          <cell r="F12">
            <v>394.5054687</v>
          </cell>
          <cell r="G12">
            <v>0.487028648150705</v>
          </cell>
          <cell r="H12">
            <v>0.427872133973564</v>
          </cell>
          <cell r="I12">
            <v>880.23351885</v>
          </cell>
          <cell r="J12">
            <v>922.01720415</v>
          </cell>
          <cell r="K12">
            <v>1.04746886411982</v>
          </cell>
          <cell r="L12">
            <v>419.917764</v>
          </cell>
          <cell r="M12">
            <v>-25.4122953</v>
          </cell>
          <cell r="N12">
            <v>301.77</v>
          </cell>
          <cell r="O12">
            <v>77</v>
          </cell>
        </row>
        <row r="13">
          <cell r="B13" t="str">
            <v>北城</v>
          </cell>
          <cell r="C13">
            <v>396.094288795296</v>
          </cell>
          <cell r="D13">
            <v>520.4106915</v>
          </cell>
          <cell r="E13">
            <v>124.316402704704</v>
          </cell>
          <cell r="F13">
            <v>202.32602145</v>
          </cell>
          <cell r="G13">
            <v>0.510802672932665</v>
          </cell>
          <cell r="H13">
            <v>0.388781446566418</v>
          </cell>
          <cell r="I13">
            <v>333.900570129</v>
          </cell>
          <cell r="J13">
            <v>520.4106915</v>
          </cell>
          <cell r="K13">
            <v>1.55857982302619</v>
          </cell>
          <cell r="L13">
            <v>191.33793735</v>
          </cell>
          <cell r="M13">
            <v>10.9880841</v>
          </cell>
          <cell r="N13">
            <v>178.84</v>
          </cell>
          <cell r="O13">
            <v>99</v>
          </cell>
        </row>
        <row r="14">
          <cell r="B14" t="str">
            <v>阜阳</v>
          </cell>
          <cell r="C14">
            <v>20.4123885</v>
          </cell>
          <cell r="D14">
            <v>20.7990573</v>
          </cell>
          <cell r="E14">
            <v>0.386668800000002</v>
          </cell>
          <cell r="F14">
            <v>8.71505145</v>
          </cell>
          <cell r="G14">
            <v>0.426949126997069</v>
          </cell>
          <cell r="H14">
            <v>0.41901184867643</v>
          </cell>
          <cell r="I14">
            <v>16.8173334</v>
          </cell>
          <cell r="J14">
            <v>20.7990573</v>
          </cell>
          <cell r="K14">
            <v>1.23676309467707</v>
          </cell>
          <cell r="L14">
            <v>6.53868075</v>
          </cell>
          <cell r="M14">
            <v>2.1763707</v>
          </cell>
          <cell r="N14">
            <v>5.38</v>
          </cell>
          <cell r="O14">
            <v>7</v>
          </cell>
        </row>
        <row r="15">
          <cell r="B15" t="str">
            <v>昆明</v>
          </cell>
          <cell r="C15">
            <v>2112.03976305</v>
          </cell>
          <cell r="D15">
            <v>2112.03976305</v>
          </cell>
          <cell r="E15">
            <v>0</v>
          </cell>
          <cell r="F15">
            <v>795.00725535</v>
          </cell>
          <cell r="G15">
            <v>0.376416802968676</v>
          </cell>
          <cell r="H15">
            <v>0.376416802968676</v>
          </cell>
          <cell r="I15">
            <v>2171.7044202</v>
          </cell>
          <cell r="J15">
            <v>2093.8022343</v>
          </cell>
          <cell r="K15">
            <v>0.964128550287324</v>
          </cell>
          <cell r="L15">
            <v>798.5558301</v>
          </cell>
          <cell r="M15">
            <v>-3.54857474999994</v>
          </cell>
          <cell r="N15">
            <v>775.07</v>
          </cell>
          <cell r="O15">
            <v>375</v>
          </cell>
        </row>
        <row r="16">
          <cell r="B16" t="str">
            <v>福闽</v>
          </cell>
          <cell r="C16">
            <v>152.0000076</v>
          </cell>
          <cell r="D16">
            <v>188.92003095</v>
          </cell>
          <cell r="E16">
            <v>36.92002335</v>
          </cell>
          <cell r="F16">
            <v>84.0047208</v>
          </cell>
          <cell r="G16">
            <v>0.552662609208975</v>
          </cell>
          <cell r="H16">
            <v>0.444657564248615</v>
          </cell>
          <cell r="I16">
            <v>159.139953</v>
          </cell>
          <cell r="J16">
            <v>188.92003095</v>
          </cell>
          <cell r="K16">
            <v>1.18713137328877</v>
          </cell>
          <cell r="L16">
            <v>82.13401245</v>
          </cell>
          <cell r="M16">
            <v>1.87070835</v>
          </cell>
          <cell r="N16">
            <v>100.57</v>
          </cell>
          <cell r="O16">
            <v>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S21"/>
  <sheetViews>
    <sheetView workbookViewId="0">
      <selection activeCell="H6" sqref="H6"/>
    </sheetView>
  </sheetViews>
  <sheetFormatPr defaultColWidth="9" defaultRowHeight="14.25"/>
  <cols>
    <col min="1" max="1" width="15.375" style="90" customWidth="1"/>
    <col min="2" max="10" width="14.125" style="90" customWidth="1"/>
    <col min="11" max="11" width="15" style="90" hidden="1" customWidth="1"/>
    <col min="12" max="12" width="14.125" style="90" customWidth="1"/>
    <col min="13" max="13" width="17.875" style="90" customWidth="1"/>
    <col min="14" max="14" width="11.125" style="90" hidden="1" customWidth="1"/>
    <col min="15" max="15" width="12" style="90" hidden="1" customWidth="1"/>
    <col min="20" max="16366" width="9" style="90"/>
    <col min="16367" max="16384" width="9" style="92"/>
  </cols>
  <sheetData>
    <row r="1" s="91" customFormat="1" ht="29" customHeight="1" spans="1:19">
      <c r="A1" s="91" t="s">
        <v>0</v>
      </c>
      <c r="P1"/>
      <c r="Q1"/>
      <c r="R1"/>
      <c r="S1"/>
    </row>
    <row r="2" s="90" customFormat="1" ht="27" customHeight="1" spans="1:19">
      <c r="A2" s="94" t="s">
        <v>1</v>
      </c>
      <c r="B2" s="94" t="s">
        <v>2</v>
      </c>
      <c r="C2" s="94" t="s">
        <v>3</v>
      </c>
      <c r="D2" s="94" t="s">
        <v>4</v>
      </c>
      <c r="E2" s="94" t="s">
        <v>5</v>
      </c>
      <c r="F2" s="94" t="s">
        <v>6</v>
      </c>
      <c r="G2" s="94" t="s">
        <v>7</v>
      </c>
      <c r="H2" s="94" t="s">
        <v>8</v>
      </c>
      <c r="I2" s="94" t="s">
        <v>9</v>
      </c>
      <c r="J2" s="94" t="s">
        <v>10</v>
      </c>
      <c r="K2" s="94" t="s">
        <v>11</v>
      </c>
      <c r="L2" s="94" t="s">
        <v>12</v>
      </c>
      <c r="M2" s="94" t="s">
        <v>13</v>
      </c>
      <c r="P2"/>
      <c r="Q2"/>
      <c r="R2"/>
      <c r="S2"/>
    </row>
    <row r="3" s="90" customFormat="1" ht="27" customHeight="1" spans="1:19">
      <c r="A3" s="96" t="s">
        <v>14</v>
      </c>
      <c r="B3" s="97">
        <v>20.96364165</v>
      </c>
      <c r="C3" s="97">
        <v>20.4123885</v>
      </c>
      <c r="D3" s="97">
        <v>20.96364165</v>
      </c>
      <c r="E3" s="97">
        <v>8.71505145</v>
      </c>
      <c r="F3" s="97">
        <v>2.1763707</v>
      </c>
      <c r="G3" s="97">
        <v>5.38</v>
      </c>
      <c r="H3" s="97">
        <v>7</v>
      </c>
      <c r="I3" s="97">
        <f>E3+G3+H3</f>
        <v>21.09505145</v>
      </c>
      <c r="J3" s="98">
        <f t="shared" ref="J3:J9" si="0">E3+G3+H3-D3</f>
        <v>0.1314098</v>
      </c>
      <c r="K3" s="98">
        <v>0.212756649999999</v>
      </c>
      <c r="L3" s="98">
        <f t="shared" ref="L3:L18" si="1">-K3+J3</f>
        <v>-0.0813468499999989</v>
      </c>
      <c r="M3" s="99"/>
      <c r="N3" s="100">
        <f>VLOOKUP(A3,[4]Sheet1!$B$4:$O$16,13,FALSE)</f>
        <v>5.38</v>
      </c>
      <c r="O3" s="100">
        <f>N3-G3</f>
        <v>0</v>
      </c>
      <c r="P3"/>
      <c r="Q3"/>
      <c r="R3"/>
      <c r="S3"/>
    </row>
    <row r="4" s="90" customFormat="1" ht="27" customHeight="1" spans="1:19">
      <c r="A4" s="96" t="s">
        <v>15</v>
      </c>
      <c r="B4" s="97">
        <v>520.4106915</v>
      </c>
      <c r="C4" s="97">
        <v>396.0942888</v>
      </c>
      <c r="D4" s="97">
        <v>520.4106915</v>
      </c>
      <c r="E4" s="97">
        <v>202.32602145</v>
      </c>
      <c r="F4" s="97">
        <v>10.9880841</v>
      </c>
      <c r="G4" s="97">
        <v>170.45</v>
      </c>
      <c r="H4" s="97">
        <v>99</v>
      </c>
      <c r="I4" s="97">
        <f t="shared" ref="I4:I9" si="2">E4+G4+H4</f>
        <v>471.77602145</v>
      </c>
      <c r="J4" s="97">
        <f t="shared" si="0"/>
        <v>-48.63467005</v>
      </c>
      <c r="K4" s="97">
        <v>-50.4982505</v>
      </c>
      <c r="L4" s="97">
        <f t="shared" si="1"/>
        <v>1.86358045000004</v>
      </c>
      <c r="M4" s="101"/>
      <c r="N4" s="100">
        <f>VLOOKUP(A4,[4]Sheet1!$B$4:$O$16,13,FALSE)</f>
        <v>178.84</v>
      </c>
      <c r="O4" s="100">
        <f t="shared" ref="O4:O18" si="3">N4-G4</f>
        <v>8.39000000000001</v>
      </c>
      <c r="P4"/>
      <c r="Q4"/>
      <c r="R4"/>
      <c r="S4"/>
    </row>
    <row r="5" s="90" customFormat="1" ht="27" customHeight="1" spans="1:19">
      <c r="A5" s="96" t="s">
        <v>16</v>
      </c>
      <c r="B5" s="97">
        <v>412.925833032804</v>
      </c>
      <c r="C5" s="97">
        <v>392.4034065</v>
      </c>
      <c r="D5" s="97">
        <v>412.925833032804</v>
      </c>
      <c r="E5" s="97">
        <v>195.13466175</v>
      </c>
      <c r="F5" s="97">
        <v>29.4754729499999</v>
      </c>
      <c r="G5" s="97">
        <v>149.9</v>
      </c>
      <c r="H5" s="97">
        <v>50</v>
      </c>
      <c r="I5" s="97">
        <f t="shared" si="2"/>
        <v>395.03466175</v>
      </c>
      <c r="J5" s="97">
        <f t="shared" si="0"/>
        <v>-17.891171282804</v>
      </c>
      <c r="K5" s="97">
        <v>-55.292366332804</v>
      </c>
      <c r="L5" s="97">
        <f t="shared" si="1"/>
        <v>37.40119505</v>
      </c>
      <c r="M5" s="101"/>
      <c r="N5" s="100">
        <f>VLOOKUP(A5,[4]Sheet1!$B$4:$O$16,13,FALSE)</f>
        <v>150</v>
      </c>
      <c r="O5" s="100">
        <f t="shared" si="3"/>
        <v>0.0999999999999943</v>
      </c>
      <c r="P5"/>
      <c r="Q5"/>
      <c r="R5"/>
      <c r="S5"/>
    </row>
    <row r="6" s="90" customFormat="1" ht="27" customHeight="1" spans="1:19">
      <c r="A6" s="96" t="s">
        <v>17</v>
      </c>
      <c r="B6" s="97">
        <v>505.97782195</v>
      </c>
      <c r="C6" s="97">
        <v>501.9982086</v>
      </c>
      <c r="D6" s="97">
        <f>693.97782195-188</f>
        <v>505.97782195</v>
      </c>
      <c r="E6" s="97">
        <v>220.90802895</v>
      </c>
      <c r="F6" s="97">
        <v>17.2381083</v>
      </c>
      <c r="G6" s="97">
        <v>144.01</v>
      </c>
      <c r="H6" s="97">
        <v>15</v>
      </c>
      <c r="I6" s="97">
        <f t="shared" si="2"/>
        <v>379.91802895</v>
      </c>
      <c r="J6" s="102">
        <f t="shared" si="0"/>
        <v>-126.059793</v>
      </c>
      <c r="K6" s="97">
        <v>-123.25837255</v>
      </c>
      <c r="L6" s="103">
        <f t="shared" si="1"/>
        <v>-2.80142045000001</v>
      </c>
      <c r="M6" s="101" t="s">
        <v>18</v>
      </c>
      <c r="N6" s="100">
        <f>VLOOKUP(A6,[4]Sheet1!$B$4:$O$16,13,FALSE)</f>
        <v>140.2</v>
      </c>
      <c r="O6" s="104">
        <f t="shared" si="3"/>
        <v>-3.81</v>
      </c>
      <c r="P6"/>
      <c r="Q6"/>
      <c r="R6"/>
      <c r="S6"/>
    </row>
    <row r="7" s="90" customFormat="1" ht="27" customHeight="1" spans="1:19">
      <c r="A7" s="96" t="s">
        <v>19</v>
      </c>
      <c r="B7" s="97">
        <v>614.49591735</v>
      </c>
      <c r="C7" s="97">
        <v>661.00419525</v>
      </c>
      <c r="D7" s="97">
        <v>661.00419525</v>
      </c>
      <c r="E7" s="97">
        <v>222.49288005</v>
      </c>
      <c r="F7" s="97">
        <v>-22.59400815</v>
      </c>
      <c r="G7" s="97">
        <v>274.785021</v>
      </c>
      <c r="H7" s="97">
        <v>31.78</v>
      </c>
      <c r="I7" s="97">
        <f t="shared" si="2"/>
        <v>529.05790105</v>
      </c>
      <c r="J7" s="102">
        <f t="shared" si="0"/>
        <v>-131.9462942</v>
      </c>
      <c r="K7" s="97">
        <v>-137.496947</v>
      </c>
      <c r="L7" s="97">
        <f t="shared" si="1"/>
        <v>5.55065279999999</v>
      </c>
      <c r="M7" s="101"/>
      <c r="N7" s="100">
        <f>VLOOKUP(A7,[4]Sheet1!$B$4:$O$16,13,FALSE)</f>
        <v>286.63</v>
      </c>
      <c r="O7" s="104">
        <f t="shared" si="3"/>
        <v>11.844979</v>
      </c>
      <c r="P7"/>
      <c r="Q7"/>
      <c r="R7"/>
      <c r="S7"/>
    </row>
    <row r="8" s="90" customFormat="1" ht="27" customHeight="1" spans="1:19">
      <c r="A8" s="96" t="s">
        <v>20</v>
      </c>
      <c r="B8" s="97">
        <v>922.01720415</v>
      </c>
      <c r="C8" s="97">
        <v>810.02518065</v>
      </c>
      <c r="D8" s="97">
        <v>922.01720415</v>
      </c>
      <c r="E8" s="97">
        <v>394.5054687</v>
      </c>
      <c r="F8" s="97">
        <v>-25.4122953</v>
      </c>
      <c r="G8" s="97">
        <v>301.77</v>
      </c>
      <c r="H8" s="97">
        <v>76.94</v>
      </c>
      <c r="I8" s="97">
        <f t="shared" si="2"/>
        <v>773.2154687</v>
      </c>
      <c r="J8" s="102">
        <f t="shared" si="0"/>
        <v>-148.80173545</v>
      </c>
      <c r="K8" s="97">
        <v>-203.74318855</v>
      </c>
      <c r="L8" s="97">
        <f t="shared" si="1"/>
        <v>54.9414531</v>
      </c>
      <c r="M8" s="101"/>
      <c r="N8" s="100">
        <f>VLOOKUP(A8,[4]Sheet1!$B$4:$O$16,13,FALSE)</f>
        <v>301.77</v>
      </c>
      <c r="O8" s="100">
        <f t="shared" si="3"/>
        <v>0</v>
      </c>
      <c r="P8"/>
      <c r="Q8"/>
      <c r="R8"/>
      <c r="S8"/>
    </row>
    <row r="9" s="90" customFormat="1" ht="27" customHeight="1" spans="1:19">
      <c r="A9" s="105" t="s">
        <v>21</v>
      </c>
      <c r="B9" s="97">
        <v>1642.4747039715</v>
      </c>
      <c r="C9" s="97">
        <v>1562.05772625</v>
      </c>
      <c r="D9" s="97">
        <v>1642.4747039715</v>
      </c>
      <c r="E9" s="97">
        <v>595.0289436</v>
      </c>
      <c r="F9" s="97">
        <v>-56.2857517215001</v>
      </c>
      <c r="G9" s="97">
        <v>602.544868</v>
      </c>
      <c r="H9" s="97">
        <v>236.96337757</v>
      </c>
      <c r="I9" s="97">
        <f t="shared" si="2"/>
        <v>1434.53718917</v>
      </c>
      <c r="J9" s="102">
        <f t="shared" si="0"/>
        <v>-207.9375148015</v>
      </c>
      <c r="K9" s="97">
        <v>-207.327844279335</v>
      </c>
      <c r="L9" s="97">
        <f t="shared" si="1"/>
        <v>-0.609670522165118</v>
      </c>
      <c r="M9" s="101" t="s">
        <v>22</v>
      </c>
      <c r="N9" s="100">
        <f>VLOOKUP(A9,[4]Sheet1!$B$4:$O$16,13,FALSE)</f>
        <v>602.54</v>
      </c>
      <c r="O9" s="100">
        <f t="shared" si="3"/>
        <v>-0.00486799999998766</v>
      </c>
      <c r="P9"/>
      <c r="Q9"/>
      <c r="R9"/>
      <c r="S9"/>
    </row>
    <row r="10" s="90" customFormat="1" ht="27" customHeight="1" spans="1:19">
      <c r="A10" s="106" t="s">
        <v>23</v>
      </c>
      <c r="B10" s="107">
        <f t="shared" ref="B10:K10" si="4">SUM(B3:B9)</f>
        <v>4639.2658136043</v>
      </c>
      <c r="C10" s="107">
        <f t="shared" si="4"/>
        <v>4343.99539455</v>
      </c>
      <c r="D10" s="107">
        <f t="shared" si="4"/>
        <v>4685.7740915043</v>
      </c>
      <c r="E10" s="107">
        <f t="shared" si="4"/>
        <v>1839.11105595</v>
      </c>
      <c r="F10" s="107">
        <f t="shared" si="4"/>
        <v>-44.4140191215002</v>
      </c>
      <c r="G10" s="107">
        <f t="shared" si="4"/>
        <v>1648.839889</v>
      </c>
      <c r="H10" s="107">
        <f t="shared" si="4"/>
        <v>516.68337757</v>
      </c>
      <c r="I10" s="107">
        <f t="shared" si="4"/>
        <v>4004.63432252</v>
      </c>
      <c r="J10" s="107">
        <f t="shared" si="4"/>
        <v>-681.139768984304</v>
      </c>
      <c r="K10" s="107">
        <f t="shared" si="4"/>
        <v>-777.404212562139</v>
      </c>
      <c r="L10" s="107">
        <f t="shared" si="1"/>
        <v>96.2644435778349</v>
      </c>
      <c r="M10" s="108"/>
      <c r="N10" s="100" t="e">
        <f>VLOOKUP(A10,[4]Sheet1!$B$4:$O$16,13,FALSE)</f>
        <v>#N/A</v>
      </c>
      <c r="O10" s="100" t="e">
        <f t="shared" si="3"/>
        <v>#N/A</v>
      </c>
      <c r="P10"/>
      <c r="Q10"/>
      <c r="R10"/>
      <c r="S10"/>
    </row>
    <row r="11" s="90" customFormat="1" ht="27" customHeight="1" spans="1:19">
      <c r="A11" s="96" t="s">
        <v>24</v>
      </c>
      <c r="B11" s="97">
        <v>188.92003095</v>
      </c>
      <c r="C11" s="97">
        <v>152.00000235</v>
      </c>
      <c r="D11" s="97">
        <v>188.92003095</v>
      </c>
      <c r="E11" s="97">
        <v>84.0047208</v>
      </c>
      <c r="F11" s="97">
        <v>1.87070835</v>
      </c>
      <c r="G11" s="97">
        <v>93.37</v>
      </c>
      <c r="H11" s="97">
        <v>6.94</v>
      </c>
      <c r="I11" s="97">
        <f t="shared" ref="I11:I16" si="5">E11+G11+H11</f>
        <v>184.3147208</v>
      </c>
      <c r="J11" s="97">
        <f t="shared" ref="J11:J16" si="6">E11+G11+H11-D11</f>
        <v>-4.60531015000001</v>
      </c>
      <c r="K11" s="97">
        <v>-3.8464132</v>
      </c>
      <c r="L11" s="103">
        <f t="shared" si="1"/>
        <v>-0.758896950000008</v>
      </c>
      <c r="M11" s="101"/>
      <c r="N11" s="100">
        <v>100.57</v>
      </c>
      <c r="O11" s="104">
        <f t="shared" si="3"/>
        <v>7.19999999999999</v>
      </c>
      <c r="P11"/>
      <c r="Q11"/>
      <c r="R11"/>
      <c r="S11"/>
    </row>
    <row r="12" s="90" customFormat="1" ht="27" customHeight="1" spans="1:19">
      <c r="A12" s="96" t="s">
        <v>25</v>
      </c>
      <c r="B12" s="97">
        <v>121.0967667</v>
      </c>
      <c r="C12" s="97">
        <v>100.25262555</v>
      </c>
      <c r="D12" s="97">
        <v>121.0967667</v>
      </c>
      <c r="E12" s="97">
        <v>74.5564155</v>
      </c>
      <c r="F12" s="97">
        <v>29.05530495</v>
      </c>
      <c r="G12" s="97">
        <v>15.585824</v>
      </c>
      <c r="H12" s="97">
        <v>5</v>
      </c>
      <c r="I12" s="97">
        <f t="shared" si="5"/>
        <v>95.1422395</v>
      </c>
      <c r="J12" s="97">
        <f t="shared" si="6"/>
        <v>-25.9545272</v>
      </c>
      <c r="K12" s="97">
        <v>-34.0728768</v>
      </c>
      <c r="L12" s="97">
        <f t="shared" si="1"/>
        <v>8.1183496</v>
      </c>
      <c r="M12" s="101"/>
      <c r="N12" s="100">
        <f>VLOOKUP(A12,[4]Sheet1!$B$4:$O$16,13,FALSE)</f>
        <v>15.58</v>
      </c>
      <c r="O12" s="100">
        <f t="shared" si="3"/>
        <v>-0.0058240000000005</v>
      </c>
      <c r="P12"/>
      <c r="Q12"/>
      <c r="R12"/>
      <c r="S12"/>
    </row>
    <row r="13" s="90" customFormat="1" ht="27" customHeight="1" spans="1:19">
      <c r="A13" s="96" t="s">
        <v>26</v>
      </c>
      <c r="B13" s="97">
        <v>159.07708005</v>
      </c>
      <c r="C13" s="97">
        <v>115.4434344</v>
      </c>
      <c r="D13" s="97">
        <v>159.07708005</v>
      </c>
      <c r="E13" s="97">
        <v>60.55038255</v>
      </c>
      <c r="F13" s="97">
        <v>-3.9209268</v>
      </c>
      <c r="G13" s="97">
        <v>42.3255932</v>
      </c>
      <c r="H13" s="97">
        <v>9.42</v>
      </c>
      <c r="I13" s="97">
        <f t="shared" si="5"/>
        <v>112.29597575</v>
      </c>
      <c r="J13" s="97">
        <f t="shared" si="6"/>
        <v>-46.7811043</v>
      </c>
      <c r="K13" s="97">
        <v>-56.6347598501</v>
      </c>
      <c r="L13" s="103">
        <f t="shared" si="1"/>
        <v>9.8536555501</v>
      </c>
      <c r="M13" s="101"/>
      <c r="N13" s="100">
        <f>VLOOKUP(A13,[4]Sheet1!$B$4:$O$16,13,FALSE)</f>
        <v>35.54</v>
      </c>
      <c r="O13" s="104">
        <f t="shared" si="3"/>
        <v>-6.7855932</v>
      </c>
      <c r="P13"/>
      <c r="Q13"/>
      <c r="R13"/>
      <c r="S13"/>
    </row>
    <row r="14" s="90" customFormat="1" ht="27" customHeight="1" spans="1:19">
      <c r="A14" s="96" t="s">
        <v>27</v>
      </c>
      <c r="B14" s="97">
        <v>289.7532792</v>
      </c>
      <c r="C14" s="97">
        <v>193.0000002</v>
      </c>
      <c r="D14" s="97">
        <v>289.7532792</v>
      </c>
      <c r="E14" s="97">
        <v>136.09905645</v>
      </c>
      <c r="F14" s="97">
        <v>23.4274446</v>
      </c>
      <c r="G14" s="97">
        <v>93.13</v>
      </c>
      <c r="H14" s="97">
        <v>7.08</v>
      </c>
      <c r="I14" s="97">
        <f t="shared" si="5"/>
        <v>236.30905645</v>
      </c>
      <c r="J14" s="97">
        <f t="shared" si="6"/>
        <v>-53.44422275</v>
      </c>
      <c r="K14" s="97">
        <v>-53.4434502</v>
      </c>
      <c r="L14" s="97">
        <f t="shared" si="1"/>
        <v>-0.000772549999993544</v>
      </c>
      <c r="M14" s="101" t="s">
        <v>28</v>
      </c>
      <c r="N14" s="100">
        <f>VLOOKUP(A14,[4]Sheet1!$B$4:$O$16,13,FALSE)</f>
        <v>93</v>
      </c>
      <c r="O14" s="100">
        <f t="shared" si="3"/>
        <v>-0.129999999999995</v>
      </c>
      <c r="P14"/>
      <c r="Q14"/>
      <c r="R14"/>
      <c r="S14"/>
    </row>
    <row r="15" s="90" customFormat="1" ht="27" customHeight="1" spans="1:19">
      <c r="A15" s="96" t="s">
        <v>29</v>
      </c>
      <c r="B15" s="97">
        <v>280.6705755</v>
      </c>
      <c r="C15" s="97">
        <v>239.48987685</v>
      </c>
      <c r="D15" s="97">
        <v>280.6705755</v>
      </c>
      <c r="E15" s="97">
        <v>127.88336715</v>
      </c>
      <c r="F15" s="97">
        <v>33.48673965</v>
      </c>
      <c r="G15" s="97">
        <v>94.1</v>
      </c>
      <c r="H15" s="97">
        <v>3.14</v>
      </c>
      <c r="I15" s="97">
        <f t="shared" si="5"/>
        <v>225.12336715</v>
      </c>
      <c r="J15" s="97">
        <f t="shared" si="6"/>
        <v>-55.54720835</v>
      </c>
      <c r="K15" s="97">
        <v>-57.41031475</v>
      </c>
      <c r="L15" s="97">
        <f t="shared" si="1"/>
        <v>1.86310639999999</v>
      </c>
      <c r="M15" s="101"/>
      <c r="N15" s="100">
        <f>VLOOKUP(A15,[4]Sheet1!$B$4:$O$16,13,FALSE)</f>
        <v>94</v>
      </c>
      <c r="O15" s="100">
        <f t="shared" si="3"/>
        <v>-0.0999999999999943</v>
      </c>
      <c r="P15"/>
      <c r="Q15"/>
      <c r="R15"/>
      <c r="S15"/>
    </row>
    <row r="16" s="90" customFormat="1" ht="27" customHeight="1" spans="1:19">
      <c r="A16" s="96" t="s">
        <v>30</v>
      </c>
      <c r="B16" s="97">
        <v>2093.8022343</v>
      </c>
      <c r="C16" s="97">
        <v>2112.03975675</v>
      </c>
      <c r="D16" s="97">
        <v>2112.03975675</v>
      </c>
      <c r="E16" s="97">
        <v>795.00725535</v>
      </c>
      <c r="F16" s="97">
        <v>-3.54857474999994</v>
      </c>
      <c r="G16" s="97">
        <v>720</v>
      </c>
      <c r="H16" s="97">
        <v>375</v>
      </c>
      <c r="I16" s="97">
        <f t="shared" si="5"/>
        <v>1890.00725535</v>
      </c>
      <c r="J16" s="102">
        <f t="shared" si="6"/>
        <v>-222.0325014</v>
      </c>
      <c r="K16" s="97">
        <v>-218.24542335</v>
      </c>
      <c r="L16" s="103">
        <f t="shared" si="1"/>
        <v>-3.78707804999999</v>
      </c>
      <c r="M16" s="101" t="s">
        <v>31</v>
      </c>
      <c r="N16" s="100">
        <f>VLOOKUP(A16,[4]Sheet1!$B$4:$O$16,13,FALSE)</f>
        <v>775.07</v>
      </c>
      <c r="O16" s="104">
        <f t="shared" si="3"/>
        <v>55.0700000000001</v>
      </c>
      <c r="P16"/>
      <c r="Q16"/>
      <c r="R16"/>
      <c r="S16"/>
    </row>
    <row r="17" s="90" customFormat="1" ht="27" customHeight="1" spans="1:19">
      <c r="A17" s="106" t="s">
        <v>23</v>
      </c>
      <c r="B17" s="107">
        <f t="shared" ref="B17:K17" si="7">SUM(B11:B16)</f>
        <v>3133.3199667</v>
      </c>
      <c r="C17" s="107">
        <f t="shared" si="7"/>
        <v>2912.2256961</v>
      </c>
      <c r="D17" s="107">
        <f t="shared" si="7"/>
        <v>3151.55748915</v>
      </c>
      <c r="E17" s="107">
        <f t="shared" si="7"/>
        <v>1278.1011978</v>
      </c>
      <c r="F17" s="107">
        <f t="shared" si="7"/>
        <v>80.3706960000001</v>
      </c>
      <c r="G17" s="107">
        <f t="shared" si="7"/>
        <v>1058.5114172</v>
      </c>
      <c r="H17" s="107">
        <f t="shared" si="7"/>
        <v>406.58</v>
      </c>
      <c r="I17" s="107">
        <f t="shared" si="7"/>
        <v>2743.192615</v>
      </c>
      <c r="J17" s="107">
        <f t="shared" si="7"/>
        <v>-408.36487415</v>
      </c>
      <c r="K17" s="107">
        <f t="shared" si="7"/>
        <v>-423.6532381501</v>
      </c>
      <c r="L17" s="107">
        <f t="shared" si="1"/>
        <v>15.2883640001</v>
      </c>
      <c r="M17" s="108"/>
      <c r="N17" s="100" t="e">
        <f>VLOOKUP(A17,[4]Sheet1!$B$4:$O$16,13,FALSE)</f>
        <v>#N/A</v>
      </c>
      <c r="O17" s="100" t="e">
        <f t="shared" si="3"/>
        <v>#N/A</v>
      </c>
      <c r="P17"/>
      <c r="Q17"/>
      <c r="R17"/>
      <c r="S17"/>
    </row>
    <row r="18" s="90" customFormat="1" ht="27" customHeight="1" spans="1:19">
      <c r="A18" s="106" t="s">
        <v>32</v>
      </c>
      <c r="B18" s="107">
        <f t="shared" ref="B18:K18" si="8">B10+B17</f>
        <v>7772.5857803043</v>
      </c>
      <c r="C18" s="107">
        <f t="shared" si="8"/>
        <v>7256.22109065</v>
      </c>
      <c r="D18" s="107">
        <f t="shared" si="8"/>
        <v>7837.3315806543</v>
      </c>
      <c r="E18" s="107">
        <f t="shared" si="8"/>
        <v>3117.21225375</v>
      </c>
      <c r="F18" s="107">
        <f t="shared" si="8"/>
        <v>35.9566768784999</v>
      </c>
      <c r="G18" s="107">
        <f t="shared" si="8"/>
        <v>2707.3513062</v>
      </c>
      <c r="H18" s="107">
        <f t="shared" si="8"/>
        <v>923.26337757</v>
      </c>
      <c r="I18" s="107">
        <f t="shared" si="8"/>
        <v>6747.82693752</v>
      </c>
      <c r="J18" s="107">
        <f t="shared" si="8"/>
        <v>-1089.5046431343</v>
      </c>
      <c r="K18" s="107">
        <f t="shared" si="8"/>
        <v>-1201.05745071224</v>
      </c>
      <c r="L18" s="107">
        <f t="shared" si="1"/>
        <v>111.552807577935</v>
      </c>
      <c r="M18" s="108"/>
      <c r="N18" s="100" t="e">
        <f>VLOOKUP(A18,[4]Sheet1!$B$4:$O$16,13,FALSE)</f>
        <v>#N/A</v>
      </c>
      <c r="O18" s="100" t="e">
        <f t="shared" si="3"/>
        <v>#N/A</v>
      </c>
      <c r="P18"/>
      <c r="Q18"/>
      <c r="R18"/>
      <c r="S18"/>
    </row>
    <row r="19" spans="1:19">
      <c r="B19" s="100">
        <f>I18-B18</f>
        <v>-1024.7588427843</v>
      </c>
      <c r="C19" s="100">
        <f>I18-C18</f>
        <v>-508.394153130001</v>
      </c>
      <c r="E19" s="100"/>
      <c r="F19" s="100"/>
      <c r="G19" s="100"/>
      <c r="H19" s="100"/>
      <c r="I19" s="100"/>
    </row>
    <row r="20" ht="71" customHeight="1" spans="1:19">
      <c r="A20" s="109" t="s">
        <v>33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</row>
    <row r="21" s="90" customFormat="1" spans="1:19">
      <c r="E21" s="95"/>
      <c r="F21" s="95"/>
      <c r="G21" s="95"/>
      <c r="H21" s="95"/>
      <c r="I21" s="95"/>
      <c r="J21" s="95"/>
      <c r="P21"/>
      <c r="Q21"/>
      <c r="R21"/>
      <c r="S21"/>
    </row>
  </sheetData>
  <autoFilter xmlns:etc="http://www.wps.cn/officeDocument/2017/etCustomData" ref="A2:XFD20" etc:filterBottomFollowUsedRange="0">
    <extLst/>
  </autoFilter>
  <sortState ref="A12:M16">
    <sortCondition ref="J12:J16" descending="1"/>
  </sortState>
  <mergeCells count="2">
    <mergeCell ref="A1:M1"/>
    <mergeCell ref="A20:M20"/>
  </mergeCells>
  <pageMargins left="0.432638888888889" right="0.314583333333333" top="0.708333333333333" bottom="0.156944444444444" header="0.550694444444444" footer="0.196527777777778"/>
  <pageSetup paperSize="9" scale="8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"/>
  <sheetViews>
    <sheetView workbookViewId="0">
      <selection activeCell="B6" sqref="B6:E6"/>
    </sheetView>
  </sheetViews>
  <sheetFormatPr defaultColWidth="9" defaultRowHeight="13.5"/>
  <cols>
    <col min="1" max="6" width="18.875" customWidth="1"/>
  </cols>
  <sheetData>
    <row r="1" s="90" customFormat="1" ht="33" customHeight="1" spans="1:7 16363:16384">
      <c r="A1" s="91" t="s">
        <v>34</v>
      </c>
      <c r="B1" s="91"/>
      <c r="C1" s="91"/>
      <c r="D1" s="91"/>
      <c r="E1" s="91"/>
      <c r="F1" s="91"/>
      <c r="XEI1" s="92"/>
      <c r="XEJ1" s="92"/>
      <c r="XEK1" s="92"/>
      <c r="XEL1" s="92"/>
      <c r="XEM1" s="92"/>
      <c r="XEN1" s="92"/>
      <c r="XEO1" s="92"/>
      <c r="XEP1" s="92"/>
      <c r="XEQ1" s="92"/>
      <c r="XER1" s="92"/>
      <c r="XES1" s="92"/>
      <c r="XET1" s="92"/>
      <c r="XEU1" s="92"/>
      <c r="XEV1" s="92"/>
      <c r="XEW1" s="92"/>
      <c r="XEX1" s="92"/>
      <c r="XEY1" s="92"/>
      <c r="XEZ1" s="92"/>
      <c r="XFA1" s="92"/>
      <c r="XFB1" s="93"/>
      <c r="XFC1" s="93"/>
      <c r="XFD1" s="93"/>
    </row>
    <row r="2" s="90" customFormat="1" ht="25" customHeight="1" spans="1:7 16363:16384">
      <c r="A2" s="94" t="s">
        <v>1</v>
      </c>
      <c r="B2" s="94" t="s">
        <v>35</v>
      </c>
      <c r="C2" s="94" t="s">
        <v>36</v>
      </c>
      <c r="D2" s="94" t="s">
        <v>37</v>
      </c>
      <c r="E2" s="94" t="s">
        <v>36</v>
      </c>
      <c r="F2" s="94" t="s">
        <v>38</v>
      </c>
      <c r="G2" s="95"/>
    </row>
    <row r="3" s="90" customFormat="1" ht="25" customHeight="1" spans="1:7 16363:16384">
      <c r="A3" s="96" t="s">
        <v>29</v>
      </c>
      <c r="B3" s="97">
        <v>1</v>
      </c>
      <c r="C3" s="98">
        <v>28.644</v>
      </c>
      <c r="D3" s="97">
        <v>0</v>
      </c>
      <c r="E3" s="98">
        <v>0</v>
      </c>
      <c r="F3" s="98">
        <f t="shared" ref="F3:F16" si="0">C3+E3</f>
        <v>28.644</v>
      </c>
      <c r="G3" s="95"/>
    </row>
    <row r="4" s="90" customFormat="1" ht="25" customHeight="1" spans="1:7 16363:16384">
      <c r="A4" s="96" t="s">
        <v>15</v>
      </c>
      <c r="B4" s="97">
        <v>4</v>
      </c>
      <c r="C4" s="98">
        <v>8.6</v>
      </c>
      <c r="D4" s="97">
        <v>0</v>
      </c>
      <c r="E4" s="98">
        <v>0</v>
      </c>
      <c r="F4" s="98">
        <f t="shared" si="0"/>
        <v>8.6</v>
      </c>
      <c r="G4" s="95"/>
    </row>
    <row r="5" s="90" customFormat="1" ht="25" customHeight="1" spans="1:7 16363:16384">
      <c r="A5" s="96" t="s">
        <v>21</v>
      </c>
      <c r="B5" s="97">
        <v>4</v>
      </c>
      <c r="C5" s="98">
        <v>5.7714215</v>
      </c>
      <c r="D5" s="97">
        <v>7</v>
      </c>
      <c r="E5" s="98">
        <v>3.972059</v>
      </c>
      <c r="F5" s="98">
        <f t="shared" si="0"/>
        <v>9.7434805</v>
      </c>
      <c r="G5" s="95"/>
    </row>
    <row r="6" s="90" customFormat="1" ht="25" customHeight="1" spans="1:7 16363:16384">
      <c r="A6" s="96" t="s">
        <v>17</v>
      </c>
      <c r="B6" s="97">
        <v>8</v>
      </c>
      <c r="C6" s="98">
        <v>10</v>
      </c>
      <c r="D6" s="97">
        <v>0</v>
      </c>
      <c r="E6" s="98">
        <v>0</v>
      </c>
      <c r="F6" s="98">
        <f t="shared" si="0"/>
        <v>10</v>
      </c>
      <c r="G6" s="95"/>
    </row>
    <row r="7" s="90" customFormat="1" ht="25" customHeight="1" spans="1:7 16363:16384">
      <c r="A7" s="96" t="s">
        <v>14</v>
      </c>
      <c r="B7" s="97">
        <v>0</v>
      </c>
      <c r="C7" s="98">
        <v>0</v>
      </c>
      <c r="D7" s="97">
        <v>0</v>
      </c>
      <c r="E7" s="98">
        <v>0</v>
      </c>
      <c r="F7" s="98">
        <f t="shared" si="0"/>
        <v>0</v>
      </c>
      <c r="G7" s="95"/>
    </row>
    <row r="8" s="90" customFormat="1" ht="25" customHeight="1" spans="1:7 16363:16384">
      <c r="A8" s="96" t="s">
        <v>20</v>
      </c>
      <c r="B8" s="97">
        <v>19</v>
      </c>
      <c r="C8" s="98">
        <v>4.3805107368696</v>
      </c>
      <c r="D8" s="97">
        <v>0</v>
      </c>
      <c r="E8" s="98">
        <v>0</v>
      </c>
      <c r="F8" s="98">
        <f t="shared" si="0"/>
        <v>4.3805107368696</v>
      </c>
      <c r="G8" s="95"/>
    </row>
    <row r="9" s="90" customFormat="1" ht="25" customHeight="1" spans="1:7 16363:16384">
      <c r="A9" s="96" t="s">
        <v>30</v>
      </c>
      <c r="B9" s="97">
        <v>1</v>
      </c>
      <c r="C9" s="98">
        <v>1.03</v>
      </c>
      <c r="D9" s="97">
        <v>0</v>
      </c>
      <c r="E9" s="98">
        <v>0</v>
      </c>
      <c r="F9" s="98">
        <f t="shared" si="0"/>
        <v>1.03</v>
      </c>
      <c r="G9" s="95"/>
    </row>
    <row r="10" s="90" customFormat="1" ht="25" customHeight="1" spans="1:7 16363:16384">
      <c r="A10" s="96" t="s">
        <v>27</v>
      </c>
      <c r="B10" s="97">
        <v>15</v>
      </c>
      <c r="C10" s="98">
        <v>4.785266</v>
      </c>
      <c r="D10" s="97">
        <v>0</v>
      </c>
      <c r="E10" s="98">
        <v>0</v>
      </c>
      <c r="F10" s="98">
        <f t="shared" si="0"/>
        <v>4.785266</v>
      </c>
      <c r="G10" s="95"/>
    </row>
    <row r="11" s="90" customFormat="1" ht="25" customHeight="1" spans="1:7 16363:16384">
      <c r="A11" s="96" t="s">
        <v>26</v>
      </c>
      <c r="B11" s="97">
        <v>1</v>
      </c>
      <c r="C11" s="98">
        <v>0.2</v>
      </c>
      <c r="D11" s="97">
        <v>0</v>
      </c>
      <c r="E11" s="98">
        <v>0</v>
      </c>
      <c r="F11" s="98">
        <f t="shared" si="0"/>
        <v>0.2</v>
      </c>
      <c r="G11" s="95"/>
    </row>
    <row r="12" s="90" customFormat="1" ht="25" customHeight="1" spans="1:7 16363:16384">
      <c r="A12" s="96" t="s">
        <v>24</v>
      </c>
      <c r="B12" s="97">
        <v>3</v>
      </c>
      <c r="C12" s="98">
        <v>5.37</v>
      </c>
      <c r="D12" s="97">
        <v>0</v>
      </c>
      <c r="E12" s="98">
        <v>0</v>
      </c>
      <c r="F12" s="98">
        <f t="shared" si="0"/>
        <v>5.37</v>
      </c>
      <c r="G12" s="95"/>
    </row>
    <row r="13" s="90" customFormat="1" ht="25" customHeight="1" spans="1:7 16363:16384">
      <c r="A13" s="96" t="s">
        <v>16</v>
      </c>
      <c r="B13" s="97">
        <v>4</v>
      </c>
      <c r="C13" s="98">
        <v>2</v>
      </c>
      <c r="D13" s="97">
        <v>0</v>
      </c>
      <c r="E13" s="98">
        <v>0</v>
      </c>
      <c r="F13" s="98">
        <f t="shared" si="0"/>
        <v>2</v>
      </c>
      <c r="G13" s="95"/>
    </row>
    <row r="14" s="90" customFormat="1" ht="25" customHeight="1" spans="1:7 16363:16384">
      <c r="A14" s="96" t="s">
        <v>25</v>
      </c>
      <c r="B14" s="97">
        <v>0</v>
      </c>
      <c r="C14" s="98">
        <v>0</v>
      </c>
      <c r="D14" s="97">
        <v>0</v>
      </c>
      <c r="E14" s="98">
        <v>0</v>
      </c>
      <c r="F14" s="98">
        <f t="shared" si="0"/>
        <v>0</v>
      </c>
      <c r="G14" s="95"/>
    </row>
    <row r="15" s="90" customFormat="1" ht="25" customHeight="1" spans="1:7 16363:16384">
      <c r="A15" s="96" t="s">
        <v>19</v>
      </c>
      <c r="B15" s="97">
        <v>4</v>
      </c>
      <c r="C15" s="98">
        <v>3.38</v>
      </c>
      <c r="D15" s="97">
        <v>0</v>
      </c>
      <c r="E15" s="98">
        <v>0</v>
      </c>
      <c r="F15" s="98">
        <f t="shared" si="0"/>
        <v>3.38</v>
      </c>
      <c r="G15" s="95"/>
    </row>
    <row r="16" s="90" customFormat="1" ht="25" customHeight="1" spans="1:7 16363:16384">
      <c r="A16" s="96" t="s">
        <v>32</v>
      </c>
      <c r="B16" s="97">
        <f>SUM(B3:B15)</f>
        <v>64</v>
      </c>
      <c r="C16" s="97">
        <f>SUM(C3:C15)</f>
        <v>74.1611982368696</v>
      </c>
      <c r="D16" s="97">
        <f>SUM(D3:D15)</f>
        <v>7</v>
      </c>
      <c r="E16" s="97">
        <f>SUM(E3:E15)</f>
        <v>3.972059</v>
      </c>
      <c r="F16" s="98">
        <f t="shared" si="0"/>
        <v>78.1332572368696</v>
      </c>
      <c r="G16" s="95"/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  <pageSetUpPr fitToPage="1"/>
  </sheetPr>
  <dimension ref="A1:Q35"/>
  <sheetViews>
    <sheetView zoomScale="70" zoomScaleNormal="70" workbookViewId="0">
      <selection activeCell="L6" sqref="A6:A12 A15:A20 A22 L6:L12"/>
    </sheetView>
  </sheetViews>
  <sheetFormatPr defaultColWidth="11.125" defaultRowHeight="16.5"/>
  <cols>
    <col min="1" max="1" width="9.85" style="79" customWidth="1"/>
    <col min="2" max="17" width="11.6166666666667" style="79" customWidth="1"/>
    <col min="18" max="18" width="10" style="79" customWidth="1"/>
    <col min="19" max="16371" width="11.125" style="79" customWidth="1"/>
    <col min="16372" max="16375" width="11.125" style="79"/>
    <col min="16376" max="16384" width="11.125" style="33"/>
  </cols>
  <sheetData>
    <row r="1" s="77" customFormat="1" ht="30" customHeight="1" spans="1:17">
      <c r="A1" s="80" t="s">
        <v>39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</row>
    <row r="2" s="77" customFormat="1" ht="30" customHeight="1" spans="1:17">
      <c r="A2" s="81" t="s">
        <v>40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</row>
    <row r="3" s="78" customFormat="1" ht="34" customHeight="1" spans="1:17">
      <c r="A3" s="14" t="s">
        <v>1</v>
      </c>
      <c r="B3" s="14" t="s">
        <v>41</v>
      </c>
      <c r="C3" s="14"/>
      <c r="D3" s="14"/>
      <c r="E3" s="14"/>
      <c r="F3" s="14"/>
      <c r="G3" s="14"/>
      <c r="H3" s="14"/>
      <c r="I3" s="14"/>
      <c r="J3" s="14" t="s">
        <v>42</v>
      </c>
      <c r="K3" s="14"/>
      <c r="L3" s="14"/>
      <c r="M3" s="14"/>
      <c r="N3" s="14"/>
      <c r="O3" s="14"/>
      <c r="P3" s="14"/>
      <c r="Q3" s="14"/>
    </row>
    <row r="4" s="78" customFormat="1" ht="34" customHeight="1" spans="1:17">
      <c r="A4" s="14"/>
      <c r="B4" s="14" t="s">
        <v>43</v>
      </c>
      <c r="C4" s="14"/>
      <c r="D4" s="14"/>
      <c r="E4" s="14" t="s">
        <v>44</v>
      </c>
      <c r="F4" s="14"/>
      <c r="G4" s="14"/>
      <c r="H4" s="14" t="s">
        <v>45</v>
      </c>
      <c r="I4" s="14"/>
      <c r="J4" s="14" t="s">
        <v>43</v>
      </c>
      <c r="K4" s="14"/>
      <c r="L4" s="14"/>
      <c r="M4" s="14" t="s">
        <v>44</v>
      </c>
      <c r="N4" s="14"/>
      <c r="O4" s="14"/>
      <c r="P4" s="14" t="s">
        <v>45</v>
      </c>
      <c r="Q4" s="14"/>
    </row>
    <row r="5" s="78" customFormat="1" ht="34" customHeight="1" spans="1:17">
      <c r="A5" s="14"/>
      <c r="B5" s="14" t="s">
        <v>46</v>
      </c>
      <c r="C5" s="14" t="s">
        <v>47</v>
      </c>
      <c r="D5" s="14" t="s">
        <v>48</v>
      </c>
      <c r="E5" s="14" t="s">
        <v>46</v>
      </c>
      <c r="F5" s="14" t="s">
        <v>47</v>
      </c>
      <c r="G5" s="14" t="s">
        <v>48</v>
      </c>
      <c r="H5" s="14" t="s">
        <v>47</v>
      </c>
      <c r="I5" s="14" t="s">
        <v>48</v>
      </c>
      <c r="J5" s="14" t="s">
        <v>46</v>
      </c>
      <c r="K5" s="14" t="s">
        <v>47</v>
      </c>
      <c r="L5" s="14" t="s">
        <v>48</v>
      </c>
      <c r="M5" s="14" t="s">
        <v>46</v>
      </c>
      <c r="N5" s="14" t="s">
        <v>47</v>
      </c>
      <c r="O5" s="14" t="s">
        <v>48</v>
      </c>
      <c r="P5" s="14" t="s">
        <v>47</v>
      </c>
      <c r="Q5" s="14" t="s">
        <v>48</v>
      </c>
    </row>
    <row r="6" s="79" customFormat="1" ht="34" customHeight="1" spans="1:17">
      <c r="A6" s="82" t="s">
        <v>21</v>
      </c>
      <c r="B6" s="83">
        <f>VLOOKUP($A6,'[1]直收代收-26应收减免 (原)'!$AC$4:$AP$17,12,0)</f>
        <v>14912.063185</v>
      </c>
      <c r="C6" s="83">
        <f>VLOOKUP($A6,'[1]直收代收-26应收减免 (原)'!$AC$2:$AP$17,13,0)</f>
        <v>11234.020131</v>
      </c>
      <c r="D6" s="18">
        <f t="shared" ref="D6:D22" si="0">C6/B6</f>
        <v>0.753351162185275</v>
      </c>
      <c r="E6" s="83">
        <f>VLOOKUP($A6,'[1]直收代收-25应收减免（原）'!$AC$4:$AP$17,12,0)</f>
        <v>14449.351136</v>
      </c>
      <c r="F6" s="83">
        <f>VLOOKUP($A6,'[1]直收代收-25应收减免（原）'!$AC$2:$AP$17,13,0)</f>
        <v>11304.692681</v>
      </c>
      <c r="G6" s="18">
        <f t="shared" ref="G6:G22" si="1">F6/E6</f>
        <v>0.782366804889584</v>
      </c>
      <c r="H6" s="83">
        <f t="shared" ref="H6:H22" si="2">C6-F6</f>
        <v>-70.6725499999993</v>
      </c>
      <c r="I6" s="32">
        <f t="shared" ref="I6:I22" si="3">D6-G6</f>
        <v>-0.0290156427043092</v>
      </c>
      <c r="J6" s="83">
        <f>VLOOKUP($A6,'[1]直收代收-26应收减免 (原)'!$AC$26:$AP$41,12,0)</f>
        <v>5998.025009</v>
      </c>
      <c r="K6" s="83">
        <f>VLOOKUP($A6,'[1]直收代收-26应收减免 (原)'!$AC$26:$AP$41,13,0)</f>
        <v>1279.991467</v>
      </c>
      <c r="L6" s="32">
        <f t="shared" ref="L6:L22" si="4">K6/J6</f>
        <v>0.213402155722822</v>
      </c>
      <c r="M6" s="83">
        <f>VLOOKUP($A6,'[1]直收代收-25应收减免（原）'!$AC$26:$AP$41,12,0)</f>
        <v>5330.593833</v>
      </c>
      <c r="N6" s="83">
        <f>VLOOKUP($A6,'[1]直收代收-25应收减免（原）'!$AC$26:$AP$41,13,0)</f>
        <v>1501.181923</v>
      </c>
      <c r="O6" s="32">
        <f t="shared" ref="O6:O22" si="5">N6/M6</f>
        <v>0.281616264534481</v>
      </c>
      <c r="P6" s="83">
        <f t="shared" ref="P6:P22" si="6">K6-N6</f>
        <v>-221.190456</v>
      </c>
      <c r="Q6" s="32">
        <f t="shared" ref="Q6:Q22" si="7">L6-O6</f>
        <v>-0.0682141088116587</v>
      </c>
    </row>
    <row r="7" s="79" customFormat="1" ht="34" customHeight="1" spans="1:17">
      <c r="A7" s="82" t="s">
        <v>14</v>
      </c>
      <c r="B7" s="83">
        <f>VLOOKUP($A7,'[1]直收代收-26应收减免 (原)'!AC$4:AP$17,12,0)</f>
        <v>2276.843767</v>
      </c>
      <c r="C7" s="83">
        <f>VLOOKUP($A7,'[1]直收代收-26应收减免 (原)'!$AC$2:$AP$17,13,0)</f>
        <v>1616.887074</v>
      </c>
      <c r="D7" s="18">
        <f t="shared" si="0"/>
        <v>0.710144058821582</v>
      </c>
      <c r="E7" s="83">
        <f>VLOOKUP($A7,'[1]直收代收-25应收减免（原）'!AC$4:AP$17,12,0)</f>
        <v>1565.95308</v>
      </c>
      <c r="F7" s="83">
        <f>VLOOKUP($A7,'[1]直收代收-25应收减免（原）'!$AC$2:$AP$17,13,0)</f>
        <v>1122.58955</v>
      </c>
      <c r="G7" s="18">
        <f t="shared" si="1"/>
        <v>0.716873043220426</v>
      </c>
      <c r="H7" s="83">
        <f t="shared" si="2"/>
        <v>494.297524</v>
      </c>
      <c r="I7" s="84">
        <f t="shared" si="3"/>
        <v>-0.0067289843988444</v>
      </c>
      <c r="J7" s="83">
        <f>VLOOKUP($A7,'[1]直收代收-26应收减免 (原)'!$AC$26:$AP$41,12,0)</f>
        <v>1210.843197</v>
      </c>
      <c r="K7" s="83">
        <f>VLOOKUP($A7,'[1]直收代收-26应收减免 (原)'!$AC$26:$AP$41,13,0)</f>
        <v>819.975453</v>
      </c>
      <c r="L7" s="32">
        <f t="shared" si="4"/>
        <v>0.677193756410063</v>
      </c>
      <c r="M7" s="83">
        <f>VLOOKUP($A7,'[1]直收代收-25应收减免（原）'!$AC$26:$AP$41,12,0)</f>
        <v>773.671798</v>
      </c>
      <c r="N7" s="83">
        <f>VLOOKUP($A7,'[1]直收代收-25应收减免（原）'!$AC$26:$AP$41,13,0)</f>
        <v>299.387369</v>
      </c>
      <c r="O7" s="32">
        <f t="shared" si="5"/>
        <v>0.386969474361013</v>
      </c>
      <c r="P7" s="83">
        <f t="shared" si="6"/>
        <v>520.588084</v>
      </c>
      <c r="Q7" s="32">
        <f t="shared" si="7"/>
        <v>0.29022428204905</v>
      </c>
    </row>
    <row r="8" s="79" customFormat="1" ht="34" customHeight="1" spans="1:17">
      <c r="A8" s="82" t="s">
        <v>15</v>
      </c>
      <c r="B8" s="83">
        <f>VLOOKUP($A8,'[1]直收代收-26应收减免 (原)'!AC$4:AP$17,12,0)</f>
        <v>9214.667915</v>
      </c>
      <c r="C8" s="83">
        <f>VLOOKUP($A8,'[1]直收代收-26应收减免 (原)'!$AC$2:$AP$17,13,0)</f>
        <v>6788.177994</v>
      </c>
      <c r="D8" s="18">
        <f t="shared" si="0"/>
        <v>0.736670931238872</v>
      </c>
      <c r="E8" s="83">
        <f>VLOOKUP($A8,'[1]直收代收-25应收减免（原）'!AC$4:AP$17,12,0)</f>
        <v>9294.715658</v>
      </c>
      <c r="F8" s="83">
        <f>VLOOKUP($A8,'[1]直收代收-25应收减免（原）'!$AC$2:$AP$17,13,0)</f>
        <v>6902.028626</v>
      </c>
      <c r="G8" s="18">
        <f t="shared" si="1"/>
        <v>0.742575553675964</v>
      </c>
      <c r="H8" s="83">
        <f t="shared" si="2"/>
        <v>-113.850632</v>
      </c>
      <c r="I8" s="32">
        <f t="shared" si="3"/>
        <v>-0.00590462243709233</v>
      </c>
      <c r="J8" s="83">
        <f>VLOOKUP($A8,'[1]直收代收-26应收减免 (原)'!$AC$26:$AP$41,12,0)</f>
        <v>4489.268637</v>
      </c>
      <c r="K8" s="83">
        <f>VLOOKUP($A8,'[1]直收代收-26应收减免 (原)'!$AC$26:$AP$41,13,0)</f>
        <v>1255.373141</v>
      </c>
      <c r="L8" s="32">
        <f t="shared" si="4"/>
        <v>0.279638676699668</v>
      </c>
      <c r="M8" s="83">
        <f>VLOOKUP($A8,'[1]直收代收-25应收减免（原）'!$AC$26:$AP$41,12,0)</f>
        <v>3753.077924</v>
      </c>
      <c r="N8" s="83">
        <f>VLOOKUP($A8,'[1]直收代收-25应收减免（原）'!$AC$26:$AP$41,13,0)</f>
        <v>1119.649588</v>
      </c>
      <c r="O8" s="32">
        <f t="shared" si="5"/>
        <v>0.298328361593592</v>
      </c>
      <c r="P8" s="83">
        <f t="shared" si="6"/>
        <v>135.723553</v>
      </c>
      <c r="Q8" s="32">
        <f t="shared" si="7"/>
        <v>-0.0186896848939246</v>
      </c>
    </row>
    <row r="9" s="79" customFormat="1" ht="34" customHeight="1" spans="1:17">
      <c r="A9" s="82" t="s">
        <v>17</v>
      </c>
      <c r="B9" s="83">
        <f>VLOOKUP($A9,'[1]直收代收-26应收减免 (原)'!AC$4:AP$17,12,0)</f>
        <v>6445.590818</v>
      </c>
      <c r="C9" s="83">
        <f>VLOOKUP($A9,'[1]直收代收-26应收减免 (原)'!$AC$2:$AP$17,13,0)</f>
        <v>4735.502745</v>
      </c>
      <c r="D9" s="18">
        <f t="shared" si="0"/>
        <v>0.734688700960601</v>
      </c>
      <c r="E9" s="83">
        <f>VLOOKUP($A9,'[1]直收代收-25应收减免（原）'!AC$4:AP$17,12,0)</f>
        <v>6003.819213</v>
      </c>
      <c r="F9" s="83">
        <f>VLOOKUP($A9,'[1]直收代收-25应收减免（原）'!$AC$2:$AP$17,13,0)</f>
        <v>4629.351747</v>
      </c>
      <c r="G9" s="18">
        <f t="shared" si="1"/>
        <v>0.771067812464459</v>
      </c>
      <c r="H9" s="83">
        <f t="shared" si="2"/>
        <v>106.150998</v>
      </c>
      <c r="I9" s="32">
        <f t="shared" si="3"/>
        <v>-0.0363791115038576</v>
      </c>
      <c r="J9" s="83">
        <f>VLOOKUP($A9,'[1]直收代收-26应收减免 (原)'!$AC$26:$AP$41,12,0)</f>
        <v>1931.072803</v>
      </c>
      <c r="K9" s="83">
        <f>VLOOKUP($A9,'[1]直收代收-26应收减免 (原)'!$AC$26:$AP$41,13,0)</f>
        <v>1060.188482</v>
      </c>
      <c r="L9" s="32">
        <f t="shared" si="4"/>
        <v>0.549015283293801</v>
      </c>
      <c r="M9" s="83">
        <f>VLOOKUP($A9,'[1]直收代收-25应收减免（原）'!$AC$26:$AP$41,12,0)</f>
        <v>1442.059713</v>
      </c>
      <c r="N9" s="83">
        <f>VLOOKUP($A9,'[1]直收代收-25应收减免（原）'!$AC$26:$AP$41,13,0)</f>
        <v>670.542094</v>
      </c>
      <c r="O9" s="32">
        <f t="shared" si="5"/>
        <v>0.464989131833544</v>
      </c>
      <c r="P9" s="83">
        <f t="shared" si="6"/>
        <v>389.646388</v>
      </c>
      <c r="Q9" s="32">
        <f t="shared" si="7"/>
        <v>0.084026151460257</v>
      </c>
    </row>
    <row r="10" s="79" customFormat="1" ht="34" customHeight="1" spans="1:17">
      <c r="A10" s="82" t="s">
        <v>16</v>
      </c>
      <c r="B10" s="83">
        <f>VLOOKUP($A10,'[1]直收代收-26应收减免 (原)'!AC$4:AP$17,12,0)</f>
        <v>7198.308798</v>
      </c>
      <c r="C10" s="83">
        <f>VLOOKUP($A10,'[1]直收代收-26应收减免 (原)'!$AC$2:$AP$17,13,0)</f>
        <v>4814.567906</v>
      </c>
      <c r="D10" s="18">
        <f t="shared" si="0"/>
        <v>0.668847091880484</v>
      </c>
      <c r="E10" s="83">
        <f>VLOOKUP($A10,'[1]直收代收-25应收减免（原）'!AC$4:AP$17,12,0)</f>
        <v>7472.282896</v>
      </c>
      <c r="F10" s="83">
        <f>VLOOKUP($A10,'[1]直收代收-25应收减免（原）'!$AC$2:$AP$17,13,0)</f>
        <v>5328.462702</v>
      </c>
      <c r="G10" s="18">
        <f t="shared" si="1"/>
        <v>0.713097024853327</v>
      </c>
      <c r="H10" s="83">
        <f t="shared" si="2"/>
        <v>-513.894796</v>
      </c>
      <c r="I10" s="32">
        <f t="shared" si="3"/>
        <v>-0.044249932972843</v>
      </c>
      <c r="J10" s="83">
        <f>VLOOKUP($A10,'[1]直收代收-26应收减免 (原)'!$AC$26:$AP$41,12,0)</f>
        <v>3598.746005</v>
      </c>
      <c r="K10" s="83">
        <f>VLOOKUP($A10,'[1]直收代收-26应收减免 (原)'!$AC$26:$AP$41,13,0)</f>
        <v>842.953831</v>
      </c>
      <c r="L10" s="32">
        <f t="shared" si="4"/>
        <v>0.234235433628498</v>
      </c>
      <c r="M10" s="83">
        <f>VLOOKUP($A10,'[1]直收代收-25应收减免（原）'!$AC$26:$AP$41,12,0)</f>
        <v>2818.776592</v>
      </c>
      <c r="N10" s="83">
        <f>VLOOKUP($A10,'[1]直收代收-25应收减免（原）'!$AC$26:$AP$41,13,0)</f>
        <v>876.455564</v>
      </c>
      <c r="O10" s="32">
        <f t="shared" si="5"/>
        <v>0.31093473902383</v>
      </c>
      <c r="P10" s="83">
        <f t="shared" si="6"/>
        <v>-33.5017329999999</v>
      </c>
      <c r="Q10" s="32">
        <f t="shared" si="7"/>
        <v>-0.0766993053953315</v>
      </c>
    </row>
    <row r="11" s="79" customFormat="1" ht="34" customHeight="1" spans="1:17">
      <c r="A11" s="82" t="s">
        <v>19</v>
      </c>
      <c r="B11" s="83">
        <f>VLOOKUP($A11,'[1]直收代收-26应收减免 (原)'!AC$4:AP$17,12,0)</f>
        <v>4463.363764</v>
      </c>
      <c r="C11" s="83">
        <f>VLOOKUP($A11,'[1]直收代收-26应收减免 (原)'!$AC$2:$AP$17,13,0)</f>
        <v>3096.035495</v>
      </c>
      <c r="D11" s="18">
        <f t="shared" si="0"/>
        <v>0.693655202377092</v>
      </c>
      <c r="E11" s="83">
        <f>VLOOKUP($A11,'[1]直收代收-25应收减免（原）'!AC$4:AP$17,12,0)</f>
        <v>4329.303142</v>
      </c>
      <c r="F11" s="83">
        <f>VLOOKUP($A11,'[1]直收代收-25应收减免（原）'!$AC$2:$AP$17,13,0)</f>
        <v>2783.254656</v>
      </c>
      <c r="G11" s="18">
        <f t="shared" si="1"/>
        <v>0.642887449714188</v>
      </c>
      <c r="H11" s="83">
        <f t="shared" si="2"/>
        <v>312.780839</v>
      </c>
      <c r="I11" s="32">
        <f t="shared" si="3"/>
        <v>0.0507677526629045</v>
      </c>
      <c r="J11" s="83">
        <f>VLOOKUP($A11,'[1]直收代收-26应收减免 (原)'!$AC$26:$AP$41,12,0)</f>
        <v>4177.271923</v>
      </c>
      <c r="K11" s="83">
        <f>VLOOKUP($A11,'[1]直收代收-26应收减免 (原)'!$AC$26:$AP$41,13,0)</f>
        <v>387.78258</v>
      </c>
      <c r="L11" s="32">
        <f t="shared" si="4"/>
        <v>0.0928315386568144</v>
      </c>
      <c r="M11" s="83">
        <f>VLOOKUP($A11,'[1]直收代收-25应收减免（原）'!$AC$26:$AP$41,12,0)</f>
        <v>3797.996272</v>
      </c>
      <c r="N11" s="83">
        <f>VLOOKUP($A11,'[1]直收代收-25应收减免（原）'!$AC$26:$AP$41,13,0)</f>
        <v>514.095448</v>
      </c>
      <c r="O11" s="32">
        <f t="shared" si="5"/>
        <v>0.135359650505734</v>
      </c>
      <c r="P11" s="83">
        <f t="shared" si="6"/>
        <v>-126.312868</v>
      </c>
      <c r="Q11" s="32">
        <f t="shared" si="7"/>
        <v>-0.0425281118489194</v>
      </c>
    </row>
    <row r="12" s="79" customFormat="1" ht="34" customHeight="1" spans="1:17">
      <c r="A12" s="82" t="s">
        <v>20</v>
      </c>
      <c r="B12" s="83">
        <f>VLOOKUP($A12,'[1]直收代收-26应收减免 (原)'!AC$4:AP$17,12,0)</f>
        <v>9651.578285</v>
      </c>
      <c r="C12" s="83">
        <f>VLOOKUP($A12,'[1]直收代收-26应收减免 (原)'!$AC$2:$AP$17,13,0)</f>
        <v>6908.204656</v>
      </c>
      <c r="D12" s="18">
        <f t="shared" si="0"/>
        <v>0.715759065720514</v>
      </c>
      <c r="E12" s="83">
        <f>VLOOKUP($A12,'[1]直收代收-25应收减免（原）'!AC$4:AP$17,12,0)</f>
        <v>11050.519621</v>
      </c>
      <c r="F12" s="83">
        <f>VLOOKUP($A12,'[1]直收代收-25应收减免（原）'!$AC$2:$AP$17,13,0)</f>
        <v>7937.76056</v>
      </c>
      <c r="G12" s="18">
        <f t="shared" si="1"/>
        <v>0.718315593496198</v>
      </c>
      <c r="H12" s="83">
        <f t="shared" si="2"/>
        <v>-1029.555904</v>
      </c>
      <c r="I12" s="32">
        <f t="shared" si="3"/>
        <v>-0.00255652777568438</v>
      </c>
      <c r="J12" s="83">
        <f>VLOOKUP($A12,'[1]直收代收-26应收减免 (原)'!$AC$26:$AP$41,12,0)</f>
        <v>5313.692094</v>
      </c>
      <c r="K12" s="83">
        <f>VLOOKUP($A12,'[1]直收代收-26应收减免 (原)'!$AC$26:$AP$41,13,0)</f>
        <v>1464.737105</v>
      </c>
      <c r="L12" s="32">
        <f t="shared" si="4"/>
        <v>0.275653364758173</v>
      </c>
      <c r="M12" s="83">
        <f>VLOOKUP($A12,'[1]直收代收-25应收减免（原）'!$AC$26:$AP$41,12,0)</f>
        <v>4460.739903</v>
      </c>
      <c r="N12" s="83">
        <f>VLOOKUP($A12,'[1]直收代收-25应收减免（原）'!$AC$26:$AP$41,13,0)</f>
        <v>1301.866035</v>
      </c>
      <c r="O12" s="32">
        <f t="shared" si="5"/>
        <v>0.291849796964053</v>
      </c>
      <c r="P12" s="83">
        <f t="shared" si="6"/>
        <v>162.87107</v>
      </c>
      <c r="Q12" s="32">
        <f t="shared" si="7"/>
        <v>-0.0161964322058806</v>
      </c>
    </row>
    <row r="13" s="79" customFormat="1" ht="34" customHeight="1" spans="1:17">
      <c r="A13" s="82" t="s">
        <v>49</v>
      </c>
      <c r="B13" s="83">
        <f>VLOOKUP($A13,'[1]直收代收-26应收减免 (原)'!AC$4:AP$17,12,0)</f>
        <v>649.044083</v>
      </c>
      <c r="C13" s="83">
        <f>VLOOKUP($A13,'[1]直收代收-26应收减免 (原)'!$AC$2:$AP$17,13,0)</f>
        <v>385.093114</v>
      </c>
      <c r="D13" s="18">
        <f t="shared" si="0"/>
        <v>0.593323510816137</v>
      </c>
      <c r="E13" s="83">
        <f>VLOOKUP($A13,'[1]直收代收-25应收减免（原）'!AC$4:AP$17,12,0)</f>
        <v>597.9315681</v>
      </c>
      <c r="F13" s="83">
        <f>VLOOKUP($A13,'[1]直收代收-25应收减免（原）'!$AC$2:$AP$17,13,0)</f>
        <v>87.897284</v>
      </c>
      <c r="G13" s="18">
        <f t="shared" si="1"/>
        <v>0.147002246894748</v>
      </c>
      <c r="H13" s="83">
        <f t="shared" si="2"/>
        <v>297.19583</v>
      </c>
      <c r="I13" s="32">
        <f t="shared" si="3"/>
        <v>0.446321263921389</v>
      </c>
      <c r="J13" s="83">
        <f>VLOOKUP($A13,'[1]直收代收-26应收减免 (原)'!$AC$26:$AP$41,12,0)</f>
        <v>600.518606</v>
      </c>
      <c r="K13" s="83">
        <f>VLOOKUP($A13,'[1]直收代收-26应收减免 (原)'!$AC$26:$AP$41,13,0)</f>
        <v>87.58576</v>
      </c>
      <c r="L13" s="32">
        <f t="shared" si="4"/>
        <v>0.145850202016888</v>
      </c>
      <c r="M13" s="83">
        <f>VLOOKUP($A13,'[1]直收代收-25应收减免（原）'!$AC$26:$AP$41,12,0)</f>
        <v>130.687454</v>
      </c>
      <c r="N13" s="83">
        <f>VLOOKUP($A13,'[1]直收代收-25应收减免（原）'!$AC$26:$AP$41,13,0)</f>
        <v>130.687453</v>
      </c>
      <c r="O13" s="32">
        <f t="shared" si="5"/>
        <v>0.999999992348156</v>
      </c>
      <c r="P13" s="83">
        <f t="shared" si="6"/>
        <v>-43.101693</v>
      </c>
      <c r="Q13" s="32">
        <f t="shared" si="7"/>
        <v>-0.854149790331268</v>
      </c>
    </row>
    <row r="14" s="79" customFormat="1" ht="34" customHeight="1" spans="1:17">
      <c r="A14" s="85" t="s">
        <v>23</v>
      </c>
      <c r="B14" s="86">
        <f>SUM(B6:B13)</f>
        <v>54811.460615</v>
      </c>
      <c r="C14" s="86">
        <f>SUM(C6:C13)</f>
        <v>39578.489115</v>
      </c>
      <c r="D14" s="87">
        <f t="shared" si="0"/>
        <v>0.722084189527486</v>
      </c>
      <c r="E14" s="86">
        <f>SUM(E6:E13)</f>
        <v>54763.8763141</v>
      </c>
      <c r="F14" s="86">
        <f>SUM(F6:F13)</f>
        <v>40096.037806</v>
      </c>
      <c r="G14" s="87">
        <f t="shared" si="1"/>
        <v>0.7321621569669</v>
      </c>
      <c r="H14" s="86">
        <f t="shared" si="2"/>
        <v>-517.548690999996</v>
      </c>
      <c r="I14" s="87">
        <f t="shared" si="3"/>
        <v>-0.0100779674394144</v>
      </c>
      <c r="J14" s="86">
        <f>SUM(J6:J13)</f>
        <v>27319.438274</v>
      </c>
      <c r="K14" s="86">
        <f>SUM(K6:K13)</f>
        <v>7198.587819</v>
      </c>
      <c r="L14" s="87">
        <f t="shared" si="4"/>
        <v>0.263496919182666</v>
      </c>
      <c r="M14" s="86">
        <f>SUM(M6:M13)</f>
        <v>22507.603489</v>
      </c>
      <c r="N14" s="86">
        <f>SUM(N6:N13)</f>
        <v>6413.865474</v>
      </c>
      <c r="O14" s="87">
        <f t="shared" si="5"/>
        <v>0.284964388906825</v>
      </c>
      <c r="P14" s="86">
        <f t="shared" si="6"/>
        <v>784.722345</v>
      </c>
      <c r="Q14" s="87">
        <f t="shared" si="7"/>
        <v>-0.0214674697241591</v>
      </c>
    </row>
    <row r="15" s="79" customFormat="1" ht="34" customHeight="1" spans="1:17">
      <c r="A15" s="82" t="s">
        <v>30</v>
      </c>
      <c r="B15" s="83">
        <f>VLOOKUP($A15,'[1]直收代收-26应收减免 (原)'!AC$4:AP$17,12,0)</f>
        <v>5853.131694</v>
      </c>
      <c r="C15" s="83">
        <f>VLOOKUP($A15,'[1]直收代收-26应收减免 (原)'!$AC$2:$AP$17,13,0)</f>
        <v>4775.047885</v>
      </c>
      <c r="D15" s="18">
        <f t="shared" si="0"/>
        <v>0.815810771846269</v>
      </c>
      <c r="E15" s="83">
        <f>VLOOKUP($A15,'[1]直收代收-25应收减免（原）'!AC$4:AP$17,12,0)</f>
        <v>6238.554521</v>
      </c>
      <c r="F15" s="83">
        <f>VLOOKUP($A15,'[1]直收代收-25应收减免（原）'!$AC$2:$AP$17,13,0)</f>
        <v>4975.418582</v>
      </c>
      <c r="G15" s="18">
        <f t="shared" si="1"/>
        <v>0.797527466539232</v>
      </c>
      <c r="H15" s="83">
        <f t="shared" si="2"/>
        <v>-200.370697</v>
      </c>
      <c r="I15" s="32">
        <f t="shared" si="3"/>
        <v>0.0182833053070374</v>
      </c>
      <c r="J15" s="83">
        <f>VLOOKUP($A15,'[1]直收代收-26应收减免 (原)'!$AC$26:$AP$41,12,0)</f>
        <v>3212.300704</v>
      </c>
      <c r="K15" s="83">
        <f>VLOOKUP($A15,'[1]直收代收-26应收减免 (原)'!$AC$26:$AP$41,13,0)</f>
        <v>452.939526</v>
      </c>
      <c r="L15" s="32">
        <f t="shared" si="4"/>
        <v>0.141001595970139</v>
      </c>
      <c r="M15" s="83">
        <f>VLOOKUP($A15,'[1]直收代收-25应收减免（原）'!$AC$26:$AP$41,12,0)</f>
        <v>2944.650895</v>
      </c>
      <c r="N15" s="83">
        <f>VLOOKUP($A15,'[1]直收代收-25应收减免（原）'!$AC$26:$AP$41,13,0)</f>
        <v>468.572134</v>
      </c>
      <c r="O15" s="32">
        <f t="shared" si="5"/>
        <v>0.159126548683796</v>
      </c>
      <c r="P15" s="83">
        <f t="shared" si="6"/>
        <v>-15.632608</v>
      </c>
      <c r="Q15" s="32">
        <f t="shared" si="7"/>
        <v>-0.018124952713657</v>
      </c>
    </row>
    <row r="16" s="79" customFormat="1" ht="34" customHeight="1" spans="1:17">
      <c r="A16" s="82" t="s">
        <v>26</v>
      </c>
      <c r="B16" s="83">
        <f>VLOOKUP($A16,'[1]直收代收-26应收减免 (原)'!AC$4:AP$17,12,0)</f>
        <v>5421.728594</v>
      </c>
      <c r="C16" s="83">
        <f>VLOOKUP($A16,'[1]直收代收-26应收减免 (原)'!$AC$2:$AP$17,13,0)</f>
        <v>4012.09051</v>
      </c>
      <c r="D16" s="18">
        <f t="shared" si="0"/>
        <v>0.740002093509441</v>
      </c>
      <c r="E16" s="83">
        <f>VLOOKUP($A16,'[1]直收代收-25应收减免（原）'!AC$4:AP$17,12,0)</f>
        <v>5439.320607</v>
      </c>
      <c r="F16" s="83">
        <f>VLOOKUP($A16,'[1]直收代收-25应收减免（原）'!$AC$2:$AP$17,13,0)</f>
        <v>3822.005249</v>
      </c>
      <c r="G16" s="18">
        <f t="shared" si="1"/>
        <v>0.702662248678882</v>
      </c>
      <c r="H16" s="83">
        <f t="shared" si="2"/>
        <v>190.085261</v>
      </c>
      <c r="I16" s="32">
        <f t="shared" si="3"/>
        <v>0.0373398448305595</v>
      </c>
      <c r="J16" s="83">
        <f>VLOOKUP($A16,'[1]直收代收-26应收减免 (原)'!$AC$26:$AP$41,12,0)</f>
        <v>3149.594463</v>
      </c>
      <c r="K16" s="83">
        <f>VLOOKUP($A16,'[1]直收代收-26应收减免 (原)'!$AC$26:$AP$41,13,0)</f>
        <v>1353.300548</v>
      </c>
      <c r="L16" s="32">
        <f t="shared" si="4"/>
        <v>0.429674538705842</v>
      </c>
      <c r="M16" s="83">
        <f>VLOOKUP($A16,'[1]直收代收-25应收减免（原）'!$AC$26:$AP$41,12,0)</f>
        <v>2991.005281</v>
      </c>
      <c r="N16" s="83">
        <f>VLOOKUP($A16,'[1]直收代收-25应收减免（原）'!$AC$26:$AP$41,13,0)</f>
        <v>1371.380956</v>
      </c>
      <c r="O16" s="32">
        <f t="shared" si="5"/>
        <v>0.458501683267339</v>
      </c>
      <c r="P16" s="83">
        <f t="shared" si="6"/>
        <v>-18.080408</v>
      </c>
      <c r="Q16" s="32">
        <f t="shared" si="7"/>
        <v>-0.0288271445614967</v>
      </c>
    </row>
    <row r="17" s="79" customFormat="1" ht="34" customHeight="1" spans="1:17">
      <c r="A17" s="82" t="s">
        <v>24</v>
      </c>
      <c r="B17" s="83">
        <f>VLOOKUP($A17,'[1]直收代收-26应收减免 (原)'!AC$4:AP$17,12,0)</f>
        <v>3823.91092</v>
      </c>
      <c r="C17" s="83">
        <f>VLOOKUP($A17,'[1]直收代收-26应收减免 (原)'!$AC$2:$AP$17,13,0)</f>
        <v>2726.498898</v>
      </c>
      <c r="D17" s="18">
        <f t="shared" si="0"/>
        <v>0.71301318337196</v>
      </c>
      <c r="E17" s="83">
        <f>VLOOKUP($A17,'[1]直收代收-25应收减免（原）'!AC$4:AP$17,12,0)</f>
        <v>3711.760995</v>
      </c>
      <c r="F17" s="83">
        <f>VLOOKUP($A17,'[1]直收代收-25应收减免（原）'!$AC$2:$AP$17,13,0)</f>
        <v>2709.793873</v>
      </c>
      <c r="G17" s="18">
        <f t="shared" si="1"/>
        <v>0.730056131483218</v>
      </c>
      <c r="H17" s="83">
        <f t="shared" si="2"/>
        <v>16.7050249999998</v>
      </c>
      <c r="I17" s="32">
        <f t="shared" si="3"/>
        <v>-0.0170429481112581</v>
      </c>
      <c r="J17" s="83">
        <f>VLOOKUP($A17,'[1]直收代收-26应收减免 (原)'!$AC$26:$AP$41,12,0)</f>
        <v>889.398732</v>
      </c>
      <c r="K17" s="83">
        <f>VLOOKUP($A17,'[1]直收代收-26应收减免 (原)'!$AC$26:$AP$41,13,0)</f>
        <v>453.545837</v>
      </c>
      <c r="L17" s="32">
        <f t="shared" si="4"/>
        <v>0.509946574783289</v>
      </c>
      <c r="M17" s="83">
        <f>VLOOKUP($A17,'[1]直收代收-25应收减免（原）'!$AC$26:$AP$41,12,0)</f>
        <v>681.217509</v>
      </c>
      <c r="N17" s="83">
        <f>VLOOKUP($A17,'[1]直收代收-25应收减免（原）'!$AC$26:$AP$41,13,0)</f>
        <v>313.573946</v>
      </c>
      <c r="O17" s="32">
        <f t="shared" si="5"/>
        <v>0.46031398467769</v>
      </c>
      <c r="P17" s="83">
        <f t="shared" si="6"/>
        <v>139.971891</v>
      </c>
      <c r="Q17" s="32">
        <f t="shared" si="7"/>
        <v>0.0496325901055987</v>
      </c>
    </row>
    <row r="18" s="79" customFormat="1" ht="34" customHeight="1" spans="1:17">
      <c r="A18" s="82" t="s">
        <v>25</v>
      </c>
      <c r="B18" s="83">
        <f>VLOOKUP($A18,'[1]直收代收-26应收减免 (原)'!AC$4:AP$17,12,0)</f>
        <v>2202.194276</v>
      </c>
      <c r="C18" s="83">
        <f>VLOOKUP($A18,'[1]直收代收-26应收减免 (原)'!$AC$2:$AP$17,13,0)</f>
        <v>1575.650626</v>
      </c>
      <c r="D18" s="18">
        <f t="shared" si="0"/>
        <v>0.715491200377636</v>
      </c>
      <c r="E18" s="83">
        <f>VLOOKUP($A18,'[1]直收代收-25应收减免（原）'!AC$4:AP$17,12,0)</f>
        <v>2108.858543</v>
      </c>
      <c r="F18" s="83">
        <f>VLOOKUP($A18,'[1]直收代收-25应收减免（原）'!$AC$2:$AP$17,13,0)</f>
        <v>1600.616384</v>
      </c>
      <c r="G18" s="18">
        <f t="shared" si="1"/>
        <v>0.758996562056273</v>
      </c>
      <c r="H18" s="83">
        <f t="shared" si="2"/>
        <v>-24.9657579999998</v>
      </c>
      <c r="I18" s="32">
        <f t="shared" si="3"/>
        <v>-0.0435053616786361</v>
      </c>
      <c r="J18" s="83">
        <f>VLOOKUP($A18,'[1]直收代收-26应收减免 (原)'!$AC$26:$AP$41,12,0)</f>
        <v>1368.281347</v>
      </c>
      <c r="K18" s="83">
        <f>VLOOKUP($A18,'[1]直收代收-26应收减免 (原)'!$AC$26:$AP$41,13,0)</f>
        <v>243.655074</v>
      </c>
      <c r="L18" s="32">
        <f t="shared" si="4"/>
        <v>0.178073811014249</v>
      </c>
      <c r="M18" s="83">
        <f>VLOOKUP($A18,'[1]直收代收-25应收减免（原）'!$AC$26:$AP$41,12,0)</f>
        <v>1265.33664</v>
      </c>
      <c r="N18" s="83">
        <f>VLOOKUP($A18,'[1]直收代收-25应收减免（原）'!$AC$26:$AP$41,13,0)</f>
        <v>153.166356</v>
      </c>
      <c r="O18" s="32">
        <f t="shared" si="5"/>
        <v>0.121047910222532</v>
      </c>
      <c r="P18" s="83">
        <f t="shared" si="6"/>
        <v>90.488718</v>
      </c>
      <c r="Q18" s="32">
        <f t="shared" si="7"/>
        <v>0.0570259007917172</v>
      </c>
    </row>
    <row r="19" s="79" customFormat="1" ht="34" customHeight="1" spans="1:17">
      <c r="A19" s="82" t="s">
        <v>27</v>
      </c>
      <c r="B19" s="83">
        <f>VLOOKUP($A19,'[1]直收代收-26应收减免 (原)'!AC$4:AP$17,12,0)</f>
        <v>5230.605773</v>
      </c>
      <c r="C19" s="83">
        <f>VLOOKUP($A19,'[1]直收代收-26应收减免 (原)'!$AC$2:$AP$17,13,0)</f>
        <v>3376.942767</v>
      </c>
      <c r="D19" s="18">
        <f t="shared" si="0"/>
        <v>0.645612174488762</v>
      </c>
      <c r="E19" s="83">
        <f>VLOOKUP($A19,'[1]直收代收-25应收减免（原）'!AC$4:AP$17,12,0)</f>
        <v>5039.909902</v>
      </c>
      <c r="F19" s="83">
        <f>VLOOKUP($A19,'[1]直收代收-25应收减免（原）'!$AC$2:$AP$17,13,0)</f>
        <v>3227.161392</v>
      </c>
      <c r="G19" s="18">
        <f t="shared" si="1"/>
        <v>0.640321246758669</v>
      </c>
      <c r="H19" s="83">
        <f t="shared" si="2"/>
        <v>149.781375</v>
      </c>
      <c r="I19" s="32">
        <f t="shared" si="3"/>
        <v>0.00529092773009288</v>
      </c>
      <c r="J19" s="83">
        <f>VLOOKUP($A19,'[1]直收代收-26应收减免 (原)'!$AC$26:$AP$41,12,0)</f>
        <v>4631.848499</v>
      </c>
      <c r="K19" s="83">
        <f>VLOOKUP($A19,'[1]直收代收-26应收减免 (原)'!$AC$26:$AP$41,13,0)</f>
        <v>1163.773718</v>
      </c>
      <c r="L19" s="32">
        <f t="shared" si="4"/>
        <v>0.251254702793335</v>
      </c>
      <c r="M19" s="83">
        <f>VLOOKUP($A19,'[1]直收代收-25应收减免（原）'!$AC$26:$AP$41,12,0)</f>
        <v>4173.372829</v>
      </c>
      <c r="N19" s="83">
        <f>VLOOKUP($A19,'[1]直收代收-25应收减免（原）'!$AC$26:$AP$41,13,0)</f>
        <v>1208.288126</v>
      </c>
      <c r="O19" s="32">
        <f t="shared" si="5"/>
        <v>0.289523168791398</v>
      </c>
      <c r="P19" s="83">
        <f t="shared" si="6"/>
        <v>-44.514408</v>
      </c>
      <c r="Q19" s="32">
        <f t="shared" si="7"/>
        <v>-0.0382684659980627</v>
      </c>
    </row>
    <row r="20" s="79" customFormat="1" ht="34" customHeight="1" spans="1:17">
      <c r="A20" s="82" t="s">
        <v>29</v>
      </c>
      <c r="B20" s="83">
        <f>VLOOKUP($A20,'[1]直收代收-26应收减免 (原)'!AC$4:AP$17,12,0)</f>
        <v>2624.369416</v>
      </c>
      <c r="C20" s="83">
        <f>VLOOKUP($A20,'[1]直收代收-26应收减免 (原)'!$AC$2:$AP$17,13,0)</f>
        <v>1408.176593</v>
      </c>
      <c r="D20" s="18">
        <f t="shared" si="0"/>
        <v>0.536577123790106</v>
      </c>
      <c r="E20" s="83">
        <f>VLOOKUP($A20,'[1]直收代收-25应收减免（原）'!AC$4:AP$17,12,0)</f>
        <v>2525.055704</v>
      </c>
      <c r="F20" s="83">
        <f>VLOOKUP($A20,'[1]直收代收-25应收减免（原）'!$AC$2:$AP$17,13,0)</f>
        <v>1227.28773</v>
      </c>
      <c r="G20" s="18">
        <f t="shared" si="1"/>
        <v>0.486043823926666</v>
      </c>
      <c r="H20" s="83">
        <f t="shared" si="2"/>
        <v>180.888863</v>
      </c>
      <c r="I20" s="32">
        <f t="shared" si="3"/>
        <v>0.0505332998634397</v>
      </c>
      <c r="J20" s="83">
        <f>VLOOKUP($A20,'[1]直收代收-26应收减免 (原)'!$AC$26:$AP$41,12,0)</f>
        <v>2045.265659</v>
      </c>
      <c r="K20" s="83">
        <f>VLOOKUP($A20,'[1]直收代收-26应收减免 (原)'!$AC$26:$AP$41,13,0)</f>
        <v>372.143334</v>
      </c>
      <c r="L20" s="32">
        <f t="shared" si="4"/>
        <v>0.18195354347364</v>
      </c>
      <c r="M20" s="83">
        <f>VLOOKUP($A20,'[1]直收代收-25应收减免（原）'!$AC$26:$AP$41,12,0)</f>
        <v>1867.76692</v>
      </c>
      <c r="N20" s="83">
        <f>VLOOKUP($A20,'[1]直收代收-25应收减免（原）'!$AC$26:$AP$41,13,0)</f>
        <v>340.789428</v>
      </c>
      <c r="O20" s="32">
        <f t="shared" si="5"/>
        <v>0.182458220215186</v>
      </c>
      <c r="P20" s="83">
        <f t="shared" si="6"/>
        <v>31.353906</v>
      </c>
      <c r="Q20" s="32">
        <f t="shared" si="7"/>
        <v>-0.00050467674154589</v>
      </c>
    </row>
    <row r="21" s="79" customFormat="1" ht="34" customHeight="1" spans="1:17">
      <c r="A21" s="85" t="s">
        <v>23</v>
      </c>
      <c r="B21" s="86">
        <f>SUM(B15:B20)</f>
        <v>25155.940673</v>
      </c>
      <c r="C21" s="86">
        <f>SUM(C15:C20)</f>
        <v>17874.407279</v>
      </c>
      <c r="D21" s="87">
        <f t="shared" si="0"/>
        <v>0.710544181644723</v>
      </c>
      <c r="E21" s="86">
        <f>SUM(E15:E20)</f>
        <v>25063.460272</v>
      </c>
      <c r="F21" s="86">
        <f>SUM(F15:F20)</f>
        <v>17562.28321</v>
      </c>
      <c r="G21" s="87">
        <f t="shared" si="1"/>
        <v>0.700712631831605</v>
      </c>
      <c r="H21" s="86">
        <f t="shared" si="2"/>
        <v>312.124068999998</v>
      </c>
      <c r="I21" s="87">
        <f t="shared" si="3"/>
        <v>0.00983154981311807</v>
      </c>
      <c r="J21" s="86">
        <f>SUM(J15:J20)</f>
        <v>15296.689404</v>
      </c>
      <c r="K21" s="86">
        <f>SUM(K15:K20)</f>
        <v>4039.358037</v>
      </c>
      <c r="L21" s="87">
        <f t="shared" si="4"/>
        <v>0.264067467823706</v>
      </c>
      <c r="M21" s="86">
        <f>SUM(M15:M20)</f>
        <v>13923.350074</v>
      </c>
      <c r="N21" s="86">
        <f>SUM(N15:N20)</f>
        <v>3855.770946</v>
      </c>
      <c r="O21" s="87">
        <f t="shared" si="5"/>
        <v>0.276928391910517</v>
      </c>
      <c r="P21" s="86">
        <f t="shared" si="6"/>
        <v>183.587091</v>
      </c>
      <c r="Q21" s="87">
        <f t="shared" si="7"/>
        <v>-0.0128609240868108</v>
      </c>
    </row>
    <row r="22" s="79" customFormat="1" ht="34" customHeight="1" spans="1:17">
      <c r="A22" s="85" t="s">
        <v>32</v>
      </c>
      <c r="B22" s="86">
        <f>B21+B14</f>
        <v>79967.401288</v>
      </c>
      <c r="C22" s="86">
        <f>C21+C14</f>
        <v>57452.896394</v>
      </c>
      <c r="D22" s="88">
        <f t="shared" si="0"/>
        <v>0.718453963347955</v>
      </c>
      <c r="E22" s="86">
        <f>E21+E14</f>
        <v>79827.3365861</v>
      </c>
      <c r="F22" s="86">
        <f>F21+F14</f>
        <v>57658.321016</v>
      </c>
      <c r="G22" s="88">
        <f t="shared" si="1"/>
        <v>0.722287921429159</v>
      </c>
      <c r="H22" s="86">
        <f t="shared" si="2"/>
        <v>-205.424621999999</v>
      </c>
      <c r="I22" s="88">
        <f t="shared" si="3"/>
        <v>-0.00383395808120335</v>
      </c>
      <c r="J22" s="86">
        <f>J21+J14</f>
        <v>42616.127678</v>
      </c>
      <c r="K22" s="86">
        <f>K21+K14</f>
        <v>11237.945856</v>
      </c>
      <c r="L22" s="88">
        <f t="shared" si="4"/>
        <v>0.26370171266878</v>
      </c>
      <c r="M22" s="86">
        <f>M21+M14</f>
        <v>36430.953563</v>
      </c>
      <c r="N22" s="86">
        <f>N21+N14</f>
        <v>10269.63642</v>
      </c>
      <c r="O22" s="88">
        <f t="shared" si="5"/>
        <v>0.281893154463847</v>
      </c>
      <c r="P22" s="86">
        <f t="shared" si="6"/>
        <v>968.309436</v>
      </c>
      <c r="Q22" s="88">
        <f t="shared" si="7"/>
        <v>-0.0181914417950671</v>
      </c>
    </row>
    <row r="23" s="79" customFormat="1" spans="1:17">
      <c r="A23" s="81"/>
    </row>
    <row r="24" s="79" customFormat="1" spans="1:17">
      <c r="K24" s="89"/>
      <c r="L24" s="89"/>
    </row>
    <row r="25" s="79" customFormat="1" spans="1:17">
      <c r="K25" s="89"/>
    </row>
    <row r="27" s="79" customFormat="1" spans="1:17">
      <c r="K27" s="89"/>
    </row>
    <row r="28" s="79" customFormat="1" spans="1:17">
      <c r="K28" s="89"/>
    </row>
    <row r="29" s="79" customFormat="1" spans="1:17">
      <c r="K29" s="89"/>
      <c r="L29" s="89"/>
    </row>
    <row r="30" s="79" customFormat="1" spans="1:17">
      <c r="K30" s="89"/>
      <c r="L30" s="89"/>
    </row>
    <row r="32" s="79" customFormat="1" spans="1:17">
      <c r="K32" s="89"/>
      <c r="L32" s="89"/>
    </row>
    <row r="33" s="79" customFormat="1" spans="11:12">
      <c r="K33" s="89"/>
    </row>
    <row r="34" s="79" customFormat="1" spans="11:12">
      <c r="K34" s="89"/>
    </row>
    <row r="35" s="79" customFormat="1" spans="11:12">
      <c r="K35" s="89"/>
      <c r="L35" s="89"/>
    </row>
  </sheetData>
  <autoFilter xmlns:etc="http://www.wps.cn/officeDocument/2017/etCustomData" ref="A5:XFD23" etc:filterBottomFollowUsedRange="0">
    <extLst/>
  </autoFilter>
  <sortState ref="A15:Q19">
    <sortCondition ref="D15:D19" descending="1"/>
  </sortState>
  <mergeCells count="11">
    <mergeCell ref="A1:Q1"/>
    <mergeCell ref="A2:Q2"/>
    <mergeCell ref="B3:I3"/>
    <mergeCell ref="J3:Q3"/>
    <mergeCell ref="B4:D4"/>
    <mergeCell ref="E4:G4"/>
    <mergeCell ref="H4:I4"/>
    <mergeCell ref="J4:L4"/>
    <mergeCell ref="M4:O4"/>
    <mergeCell ref="P4:Q4"/>
    <mergeCell ref="A3:A5"/>
  </mergeCells>
  <pageMargins left="0.511805555555556" right="0.432638888888889" top="0.511805555555556" bottom="0.393055555555556" header="0.5" footer="0.5"/>
  <pageSetup paperSize="9" scale="7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43"/>
  <sheetViews>
    <sheetView zoomScale="70" zoomScaleNormal="70" workbookViewId="0">
      <selection activeCell="AB11" sqref="AB11"/>
    </sheetView>
  </sheetViews>
  <sheetFormatPr defaultColWidth="8.625" defaultRowHeight="28" customHeight="1"/>
  <cols>
    <col min="1" max="33" width="8.625" style="10" customWidth="1"/>
    <col min="34" max="34" width="23.9833333333333" style="10" customWidth="1"/>
    <col min="35" max="16383" width="8.625" style="10" customWidth="1"/>
    <col min="16384" max="16384" width="8.625" style="10"/>
  </cols>
  <sheetData>
    <row r="1" s="10" customFormat="1" customHeight="1" spans="1:34">
      <c r="A1" s="41" t="s">
        <v>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</row>
    <row r="2" s="10" customFormat="1" ht="27" customHeight="1" spans="1:34">
      <c r="A2" s="34" t="s">
        <v>51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="10" customFormat="1" ht="27" customHeight="1" spans="1:34">
      <c r="A3" s="14" t="s">
        <v>1</v>
      </c>
      <c r="B3" s="14" t="s">
        <v>52</v>
      </c>
      <c r="C3" s="14"/>
      <c r="D3" s="14"/>
      <c r="E3" s="14"/>
      <c r="F3" s="14"/>
      <c r="G3" s="14"/>
      <c r="H3" s="14"/>
      <c r="I3" s="14"/>
      <c r="J3" s="14" t="s">
        <v>53</v>
      </c>
      <c r="K3" s="14"/>
      <c r="L3" s="14"/>
      <c r="M3" s="14"/>
      <c r="N3" s="14"/>
      <c r="O3" s="14"/>
      <c r="P3" s="14"/>
      <c r="Q3" s="14"/>
      <c r="R3" s="14" t="s">
        <v>54</v>
      </c>
      <c r="S3" s="14"/>
      <c r="T3" s="14"/>
      <c r="U3" s="14"/>
      <c r="V3" s="14"/>
      <c r="W3" s="14"/>
      <c r="X3" s="14"/>
      <c r="Y3" s="14"/>
      <c r="Z3" s="14" t="s">
        <v>32</v>
      </c>
      <c r="AA3" s="14"/>
      <c r="AB3" s="14"/>
      <c r="AC3" s="14"/>
      <c r="AD3" s="14"/>
      <c r="AE3" s="14"/>
      <c r="AF3" s="14"/>
      <c r="AG3" s="14"/>
      <c r="AH3" s="43" t="s">
        <v>13</v>
      </c>
    </row>
    <row r="4" s="10" customFormat="1" ht="27" customHeight="1" spans="1:34">
      <c r="A4" s="14"/>
      <c r="B4" s="22" t="s">
        <v>43</v>
      </c>
      <c r="C4" s="23"/>
      <c r="D4" s="24"/>
      <c r="E4" s="22" t="s">
        <v>44</v>
      </c>
      <c r="F4" s="23"/>
      <c r="G4" s="24"/>
      <c r="H4" s="15" t="s">
        <v>45</v>
      </c>
      <c r="I4" s="15"/>
      <c r="J4" s="22" t="s">
        <v>43</v>
      </c>
      <c r="K4" s="23"/>
      <c r="L4" s="24"/>
      <c r="M4" s="22" t="s">
        <v>44</v>
      </c>
      <c r="N4" s="23"/>
      <c r="O4" s="24"/>
      <c r="P4" s="15" t="s">
        <v>45</v>
      </c>
      <c r="Q4" s="15"/>
      <c r="R4" s="22" t="s">
        <v>43</v>
      </c>
      <c r="S4" s="23"/>
      <c r="T4" s="24"/>
      <c r="U4" s="22" t="s">
        <v>44</v>
      </c>
      <c r="V4" s="23"/>
      <c r="W4" s="24"/>
      <c r="X4" s="15" t="s">
        <v>45</v>
      </c>
      <c r="Y4" s="15"/>
      <c r="Z4" s="22" t="s">
        <v>43</v>
      </c>
      <c r="AA4" s="23"/>
      <c r="AB4" s="24"/>
      <c r="AC4" s="22" t="s">
        <v>44</v>
      </c>
      <c r="AD4" s="23"/>
      <c r="AE4" s="24"/>
      <c r="AF4" s="15" t="s">
        <v>45</v>
      </c>
      <c r="AG4" s="15"/>
      <c r="AH4" s="47"/>
    </row>
    <row r="5" s="10" customFormat="1" ht="27" customHeight="1" spans="1:34">
      <c r="A5" s="14"/>
      <c r="B5" s="14" t="s">
        <v>46</v>
      </c>
      <c r="C5" s="14" t="s">
        <v>47</v>
      </c>
      <c r="D5" s="14" t="s">
        <v>48</v>
      </c>
      <c r="E5" s="14" t="s">
        <v>46</v>
      </c>
      <c r="F5" s="14" t="s">
        <v>47</v>
      </c>
      <c r="G5" s="14" t="s">
        <v>48</v>
      </c>
      <c r="H5" s="15" t="s">
        <v>47</v>
      </c>
      <c r="I5" s="15" t="s">
        <v>48</v>
      </c>
      <c r="J5" s="14" t="s">
        <v>46</v>
      </c>
      <c r="K5" s="14" t="s">
        <v>47</v>
      </c>
      <c r="L5" s="14" t="s">
        <v>48</v>
      </c>
      <c r="M5" s="14" t="s">
        <v>46</v>
      </c>
      <c r="N5" s="14" t="s">
        <v>47</v>
      </c>
      <c r="O5" s="14" t="s">
        <v>48</v>
      </c>
      <c r="P5" s="15" t="s">
        <v>47</v>
      </c>
      <c r="Q5" s="15" t="s">
        <v>48</v>
      </c>
      <c r="R5" s="14" t="s">
        <v>46</v>
      </c>
      <c r="S5" s="14" t="s">
        <v>47</v>
      </c>
      <c r="T5" s="14" t="s">
        <v>48</v>
      </c>
      <c r="U5" s="14" t="s">
        <v>46</v>
      </c>
      <c r="V5" s="14" t="s">
        <v>47</v>
      </c>
      <c r="W5" s="14" t="s">
        <v>48</v>
      </c>
      <c r="X5" s="15" t="s">
        <v>47</v>
      </c>
      <c r="Y5" s="15" t="s">
        <v>48</v>
      </c>
      <c r="Z5" s="14" t="s">
        <v>46</v>
      </c>
      <c r="AA5" s="14" t="s">
        <v>47</v>
      </c>
      <c r="AB5" s="14" t="s">
        <v>48</v>
      </c>
      <c r="AC5" s="14" t="s">
        <v>46</v>
      </c>
      <c r="AD5" s="14" t="s">
        <v>47</v>
      </c>
      <c r="AE5" s="14" t="s">
        <v>48</v>
      </c>
      <c r="AF5" s="15" t="s">
        <v>47</v>
      </c>
      <c r="AG5" s="15" t="s">
        <v>48</v>
      </c>
      <c r="AH5" s="51"/>
    </row>
    <row r="6" s="10" customFormat="1" ht="38" customHeight="1" spans="1:34">
      <c r="A6" s="69" t="s">
        <v>17</v>
      </c>
      <c r="B6" s="70">
        <f>VLOOKUP($A6,'[1]直收代收-26应收减免 (调整)'!$A$27:$K$42,3,0)</f>
        <v>2514.763192</v>
      </c>
      <c r="C6" s="70">
        <f>VLOOKUP($A6,'[1]直收代收-26应收减免 (调整)'!$A$27:$K$42,4,0)</f>
        <v>2051.11688</v>
      </c>
      <c r="D6" s="54">
        <f t="shared" ref="D6:D12" si="0">IF(B6&gt;0,C6/B6,"——")</f>
        <v>0.815630229727014</v>
      </c>
      <c r="E6" s="70">
        <f>VLOOKUP($A6,'[1]直收代收-25应收减免（调整）'!$A$27:$K$42,3,0)</f>
        <v>2521.944081</v>
      </c>
      <c r="F6" s="70">
        <f>VLOOKUP($A6,'[1]直收代收-25应收减免（调整）'!$A$27:$K$42,4,0)</f>
        <v>2056.354686</v>
      </c>
      <c r="G6" s="54">
        <f t="shared" ref="G6:G12" si="1">IF(E6&gt;0,F6/E6,"——")</f>
        <v>0.815384727001804</v>
      </c>
      <c r="H6" s="71">
        <f t="shared" ref="H6:H12" si="2">C6-F6</f>
        <v>-5.23780600000009</v>
      </c>
      <c r="I6" s="54">
        <f t="shared" ref="I6:I22" si="3">D6-G6</f>
        <v>0.000245502725210622</v>
      </c>
      <c r="J6" s="70">
        <f>VLOOKUP($A6,'[1]直收代收-26应收减免 (调整)'!$A$27:$K$42,6,0)</f>
        <v>949.106929</v>
      </c>
      <c r="K6" s="70">
        <f>VLOOKUP($A6,'[1]直收代收-26应收减免 (调整)'!$A$27:$K$42,7,0)</f>
        <v>920.729589</v>
      </c>
      <c r="L6" s="54">
        <f t="shared" ref="L6:L12" si="4">IF(J6&gt;0,K6/J6,"——")</f>
        <v>0.97010100850291</v>
      </c>
      <c r="M6" s="70">
        <f>VLOOKUP($A6,'[1]直收代收-25应收减免（调整）'!$A$27:$K$42,6,0)</f>
        <v>904.293294</v>
      </c>
      <c r="N6" s="70">
        <f>VLOOKUP($A6,'[1]直收代收-25应收减免（调整）'!$A$27:$K$42,7,0)</f>
        <v>872.360286</v>
      </c>
      <c r="O6" s="54">
        <f t="shared" ref="O6:O12" si="5">IF(M6&gt;0,N6/M6,"——")</f>
        <v>0.964687332957265</v>
      </c>
      <c r="P6" s="71">
        <f t="shared" ref="P6:P12" si="6">K6-N6</f>
        <v>48.3693030000001</v>
      </c>
      <c r="Q6" s="54">
        <f t="shared" ref="Q6:Q12" si="7">(K6/J6)-(N6/M6)</f>
        <v>0.0054136755456452</v>
      </c>
      <c r="R6" s="70">
        <f>VLOOKUP($A6,'[1]直收代收-26应收减免 (调整)'!$A$27:$K$42,9,0)</f>
        <v>391.746307</v>
      </c>
      <c r="S6" s="70">
        <f>VLOOKUP($A6,'[1]直收代收-26应收减免 (调整)'!$A$27:$K$42,10,0)</f>
        <v>344.78159</v>
      </c>
      <c r="T6" s="54">
        <f t="shared" ref="T6:T12" si="8">IF(R6&gt;0,S6/R6,"——")</f>
        <v>0.880114461423627</v>
      </c>
      <c r="U6" s="70">
        <f>VLOOKUP($A6,'[1]直收代收-25应收减免（调整）'!$A$27:$K$42,9,0)</f>
        <v>381.203455</v>
      </c>
      <c r="V6" s="70">
        <f>VLOOKUP($A6,'[1]直收代收-25应收减免（调整）'!$A$27:$K$42,10,0)</f>
        <v>328.013885</v>
      </c>
      <c r="W6" s="54">
        <f t="shared" ref="W6:W12" si="9">IF(U6&gt;0,V6/U6,"——")</f>
        <v>0.860469339135449</v>
      </c>
      <c r="X6" s="56">
        <f t="shared" ref="X6:X12" si="10">S6-V6</f>
        <v>16.767705</v>
      </c>
      <c r="Y6" s="55">
        <f t="shared" ref="Y6:Y12" si="11">(S6/R6)-(V6/U6)</f>
        <v>0.0196451222881781</v>
      </c>
      <c r="Z6" s="53">
        <f t="shared" ref="Z6:Z12" si="12">B6+J6+R6</f>
        <v>3855.616428</v>
      </c>
      <c r="AA6" s="53">
        <f t="shared" ref="AA6:AA12" si="13">C6+K6+S6</f>
        <v>3316.628059</v>
      </c>
      <c r="AB6" s="54">
        <f t="shared" ref="AB6:AB12" si="14">IF(Z6&gt;0,AA6/Z6,"——")</f>
        <v>0.860206952878976</v>
      </c>
      <c r="AC6" s="53">
        <f t="shared" ref="AC6:AC12" si="15">E6+M6+U6</f>
        <v>3807.44083</v>
      </c>
      <c r="AD6" s="53">
        <f t="shared" ref="AD6:AD12" si="16">F6+N6+V6</f>
        <v>3256.728857</v>
      </c>
      <c r="AE6" s="54">
        <f t="shared" ref="AE6:AE12" si="17">IF(AC6&gt;0,AD6/AC6,"——")</f>
        <v>0.855359019985085</v>
      </c>
      <c r="AF6" s="56">
        <f t="shared" ref="AF6:AF12" si="18">AA6-AD6</f>
        <v>59.8992020000001</v>
      </c>
      <c r="AG6" s="55">
        <f t="shared" ref="AG6:AG12" si="19">(AA6/Z6)-(AD6/AC6)</f>
        <v>0.00484793289389029</v>
      </c>
      <c r="AH6" s="66"/>
    </row>
    <row r="7" s="67" customFormat="1" ht="35" customHeight="1" spans="1:34">
      <c r="A7" s="69" t="s">
        <v>20</v>
      </c>
      <c r="B7" s="70">
        <f>VLOOKUP($A7,'[1]直收代收-26应收减免 (调整)'!$A$27:$K$42,3,0)</f>
        <v>4290.541275</v>
      </c>
      <c r="C7" s="70">
        <f>VLOOKUP($A7,'[1]直收代收-26应收减免 (调整)'!$A$27:$K$42,4,0)</f>
        <v>3323.570969</v>
      </c>
      <c r="D7" s="54">
        <f t="shared" si="0"/>
        <v>0.774627431826769</v>
      </c>
      <c r="E7" s="70">
        <f>VLOOKUP($A7,'[1]直收代收-25应收减免（调整）'!$A$27:$K$42,3,0)</f>
        <v>4605.03739</v>
      </c>
      <c r="F7" s="70">
        <f>VLOOKUP($A7,'[1]直收代收-25应收减免（调整）'!$A$27:$K$42,4,0)</f>
        <v>3313.67129</v>
      </c>
      <c r="G7" s="54">
        <f t="shared" si="1"/>
        <v>0.719575327921496</v>
      </c>
      <c r="H7" s="71">
        <f t="shared" si="2"/>
        <v>9.89967899999965</v>
      </c>
      <c r="I7" s="54">
        <f t="shared" si="3"/>
        <v>0.0550521039052729</v>
      </c>
      <c r="J7" s="70">
        <f>VLOOKUP($A7,'[1]直收代收-26应收减免 (调整)'!$A$27:$K$42,6,0)</f>
        <v>1798.610426</v>
      </c>
      <c r="K7" s="70">
        <f>VLOOKUP($A7,'[1]直收代收-26应收减免 (调整)'!$A$27:$K$42,7,0)</f>
        <v>1753.259681</v>
      </c>
      <c r="L7" s="54">
        <f t="shared" si="4"/>
        <v>0.974785676573188</v>
      </c>
      <c r="M7" s="70">
        <f>VLOOKUP($A7,'[1]直收代收-25应收减免（调整）'!$A$27:$K$42,6,0)</f>
        <v>1945.992574</v>
      </c>
      <c r="N7" s="70">
        <f>VLOOKUP($A7,'[1]直收代收-25应收减免（调整）'!$A$27:$K$42,7,0)</f>
        <v>1870.941896</v>
      </c>
      <c r="O7" s="54">
        <f t="shared" si="5"/>
        <v>0.961433214595607</v>
      </c>
      <c r="P7" s="71">
        <f t="shared" si="6"/>
        <v>-117.682215</v>
      </c>
      <c r="Q7" s="54">
        <f t="shared" si="7"/>
        <v>0.0133524619775809</v>
      </c>
      <c r="R7" s="70">
        <f>VLOOKUP($A7,'[1]直收代收-26应收减免 (调整)'!$A$27:$K$42,9,0)</f>
        <v>562.83894</v>
      </c>
      <c r="S7" s="70">
        <f>VLOOKUP($A7,'[1]直收代收-26应收减免 (调整)'!$A$27:$K$42,10,0)</f>
        <v>501.564836</v>
      </c>
      <c r="T7" s="54">
        <f t="shared" si="8"/>
        <v>0.891133857938116</v>
      </c>
      <c r="U7" s="70">
        <f>VLOOKUP($A7,'[1]直收代收-25应收减免（调整）'!$A$27:$K$42,9,0)</f>
        <v>584.935543</v>
      </c>
      <c r="V7" s="70">
        <f>VLOOKUP($A7,'[1]直收代收-25应收减免（调整）'!$A$27:$K$42,10,0)</f>
        <v>479.357757</v>
      </c>
      <c r="W7" s="54">
        <f t="shared" si="9"/>
        <v>0.819505264702302</v>
      </c>
      <c r="X7" s="56">
        <f t="shared" si="10"/>
        <v>22.207079</v>
      </c>
      <c r="Y7" s="55">
        <f t="shared" si="11"/>
        <v>0.0716285932358139</v>
      </c>
      <c r="Z7" s="53">
        <f t="shared" si="12"/>
        <v>6651.990641</v>
      </c>
      <c r="AA7" s="53">
        <f t="shared" si="13"/>
        <v>5578.395486</v>
      </c>
      <c r="AB7" s="54">
        <f t="shared" si="14"/>
        <v>0.838605432126915</v>
      </c>
      <c r="AC7" s="53">
        <f t="shared" si="15"/>
        <v>7135.965507</v>
      </c>
      <c r="AD7" s="53">
        <f t="shared" si="16"/>
        <v>5663.970943</v>
      </c>
      <c r="AE7" s="54">
        <f t="shared" si="17"/>
        <v>0.793721737786421</v>
      </c>
      <c r="AF7" s="56">
        <f t="shared" si="18"/>
        <v>-85.5754570000008</v>
      </c>
      <c r="AG7" s="55">
        <f t="shared" si="19"/>
        <v>0.044883694340494</v>
      </c>
      <c r="AH7" s="57"/>
    </row>
    <row r="8" s="10" customFormat="1" ht="35" customHeight="1" spans="1:34">
      <c r="A8" s="69" t="s">
        <v>21</v>
      </c>
      <c r="B8" s="70">
        <f>VLOOKUP($A8,'[1]直收代收-26应收减免 (调整)'!$A$27:$K$42,3,0)</f>
        <v>8869.072654</v>
      </c>
      <c r="C8" s="70">
        <f>VLOOKUP($A8,'[1]直收代收-26应收减免 (调整)'!$A$27:$K$42,4,0)</f>
        <v>7165.578336</v>
      </c>
      <c r="D8" s="54">
        <f t="shared" si="0"/>
        <v>0.807928699599533</v>
      </c>
      <c r="E8" s="70">
        <f>VLOOKUP($A8,'[1]直收代收-25应收减免（调整）'!$A$27:$K$42,3,0)</f>
        <v>8899.699763</v>
      </c>
      <c r="F8" s="70">
        <f>VLOOKUP($A8,'[1]直收代收-25应收减免（调整）'!$A$27:$K$42,4,0)</f>
        <v>7293.965434</v>
      </c>
      <c r="G8" s="54">
        <f t="shared" si="1"/>
        <v>0.819574325903021</v>
      </c>
      <c r="H8" s="71">
        <f t="shared" si="2"/>
        <v>-128.387097999999</v>
      </c>
      <c r="I8" s="54">
        <f t="shared" si="3"/>
        <v>-0.0116456263034876</v>
      </c>
      <c r="J8" s="70">
        <f>VLOOKUP($A8,'[1]直收代收-26应收减免 (调整)'!$A$27:$K$42,6,0)</f>
        <v>1014.434508</v>
      </c>
      <c r="K8" s="70">
        <f>VLOOKUP($A8,'[1]直收代收-26应收减免 (调整)'!$A$27:$K$42,7,0)</f>
        <v>991.565802</v>
      </c>
      <c r="L8" s="54">
        <f t="shared" si="4"/>
        <v>0.977456695509021</v>
      </c>
      <c r="M8" s="70">
        <f>VLOOKUP($A8,'[1]直收代收-25应收减免（调整）'!$A$27:$K$42,6,0)</f>
        <v>1132.32796</v>
      </c>
      <c r="N8" s="70">
        <f>VLOOKUP($A8,'[1]直收代收-25应收减免（调整）'!$A$27:$K$42,7,0)</f>
        <v>1103.381197</v>
      </c>
      <c r="O8" s="54">
        <f t="shared" si="5"/>
        <v>0.97443606090942</v>
      </c>
      <c r="P8" s="71">
        <f t="shared" si="6"/>
        <v>-111.815395</v>
      </c>
      <c r="Q8" s="54">
        <f t="shared" si="7"/>
        <v>0.003020634599601</v>
      </c>
      <c r="R8" s="70">
        <f>VLOOKUP($A8,'[1]直收代收-26应收减免 (调整)'!$A$27:$K$42,9,0)</f>
        <v>657.407721</v>
      </c>
      <c r="S8" s="70">
        <f>VLOOKUP($A8,'[1]直收代收-26应收减免 (调整)'!$A$27:$K$42,10,0)</f>
        <v>561.14153</v>
      </c>
      <c r="T8" s="54">
        <f t="shared" si="8"/>
        <v>0.853566990583002</v>
      </c>
      <c r="U8" s="70">
        <f>VLOOKUP($A8,'[1]直收代收-25应收减免（调整）'!$A$27:$K$42,9,0)</f>
        <v>740.348195</v>
      </c>
      <c r="V8" s="70">
        <f>VLOOKUP($A8,'[1]直收代收-25应收减免（调整）'!$A$27:$K$42,10,0)</f>
        <v>701.269829</v>
      </c>
      <c r="W8" s="54">
        <f t="shared" si="9"/>
        <v>0.94721623384251</v>
      </c>
      <c r="X8" s="56">
        <f t="shared" si="10"/>
        <v>-140.128299</v>
      </c>
      <c r="Y8" s="58">
        <f t="shared" si="11"/>
        <v>-0.0936492432595074</v>
      </c>
      <c r="Z8" s="53">
        <f t="shared" si="12"/>
        <v>10540.914883</v>
      </c>
      <c r="AA8" s="53">
        <f t="shared" si="13"/>
        <v>8718.285668</v>
      </c>
      <c r="AB8" s="54">
        <f t="shared" si="14"/>
        <v>0.827090035805197</v>
      </c>
      <c r="AC8" s="53">
        <f t="shared" si="15"/>
        <v>10772.375918</v>
      </c>
      <c r="AD8" s="53">
        <f t="shared" si="16"/>
        <v>9098.61646</v>
      </c>
      <c r="AE8" s="54">
        <f t="shared" si="17"/>
        <v>0.844624856137517</v>
      </c>
      <c r="AF8" s="56">
        <f t="shared" si="18"/>
        <v>-380.330792000001</v>
      </c>
      <c r="AG8" s="58">
        <f t="shared" si="19"/>
        <v>-0.01753482033232</v>
      </c>
      <c r="AH8" s="57" t="s">
        <v>55</v>
      </c>
    </row>
    <row r="9" s="10" customFormat="1" ht="35" customHeight="1" spans="1:34">
      <c r="A9" s="69" t="s">
        <v>15</v>
      </c>
      <c r="B9" s="70">
        <f>VLOOKUP($A9,'[1]直收代收-26应收减免 (调整)'!$A$27:$K$42,3,0)</f>
        <v>4342.980048</v>
      </c>
      <c r="C9" s="70">
        <f>VLOOKUP($A9,'[1]直收代收-26应收减免 (调整)'!$A$27:$K$42,4,0)</f>
        <v>3218.625903</v>
      </c>
      <c r="D9" s="54">
        <f t="shared" si="0"/>
        <v>0.741109990703784</v>
      </c>
      <c r="E9" s="70">
        <f>VLOOKUP($A9,'[1]直收代收-25应收减免（调整）'!$A$27:$K$42,3,0)</f>
        <v>4326.911932</v>
      </c>
      <c r="F9" s="70">
        <f>VLOOKUP($A9,'[1]直收代收-25应收减免（调整）'!$A$27:$K$42,4,0)</f>
        <v>3293.332969</v>
      </c>
      <c r="G9" s="54">
        <f t="shared" si="1"/>
        <v>0.761127802173164</v>
      </c>
      <c r="H9" s="71">
        <f t="shared" si="2"/>
        <v>-74.7070659999999</v>
      </c>
      <c r="I9" s="72">
        <f t="shared" si="3"/>
        <v>-0.0200178114693802</v>
      </c>
      <c r="J9" s="70">
        <f>VLOOKUP($A9,'[1]直收代收-26应收减免 (调整)'!$A$27:$K$42,6,0)</f>
        <v>1455.463677</v>
      </c>
      <c r="K9" s="70">
        <f>VLOOKUP($A9,'[1]直收代收-26应收减免 (调整)'!$A$27:$K$42,7,0)</f>
        <v>1392.984928</v>
      </c>
      <c r="L9" s="54">
        <f t="shared" si="4"/>
        <v>0.957072958956433</v>
      </c>
      <c r="M9" s="70">
        <f>VLOOKUP($A9,'[1]直收代收-25应收减免（调整）'!$A$27:$K$42,6,0)</f>
        <v>1529.870139</v>
      </c>
      <c r="N9" s="70">
        <f>VLOOKUP($A9,'[1]直收代收-25应收减免（调整）'!$A$27:$K$42,7,0)</f>
        <v>1467.883598</v>
      </c>
      <c r="O9" s="54">
        <f t="shared" si="5"/>
        <v>0.959482481931102</v>
      </c>
      <c r="P9" s="71">
        <f t="shared" si="6"/>
        <v>-74.8986699999998</v>
      </c>
      <c r="Q9" s="54">
        <f t="shared" si="7"/>
        <v>-0.00240952297466879</v>
      </c>
      <c r="R9" s="70">
        <f>VLOOKUP($A9,'[1]直收代收-26应收减免 (调整)'!$A$27:$K$42,9,0)</f>
        <v>564.315874</v>
      </c>
      <c r="S9" s="70">
        <f>VLOOKUP($A9,'[1]直收代收-26应收减免 (调整)'!$A$27:$K$42,10,0)</f>
        <v>510.823181</v>
      </c>
      <c r="T9" s="54">
        <f t="shared" si="8"/>
        <v>0.905207888942001</v>
      </c>
      <c r="U9" s="70">
        <f>VLOOKUP($A9,'[1]直收代收-25应收减免（调整）'!$A$27:$K$42,9,0)</f>
        <v>558.911314</v>
      </c>
      <c r="V9" s="70">
        <f>VLOOKUP($A9,'[1]直收代收-25应收减免（调整）'!$A$27:$K$42,10,0)</f>
        <v>515.366517</v>
      </c>
      <c r="W9" s="54">
        <f t="shared" si="9"/>
        <v>0.922089970431338</v>
      </c>
      <c r="X9" s="56">
        <f t="shared" si="10"/>
        <v>-4.54333600000007</v>
      </c>
      <c r="Y9" s="55">
        <f t="shared" si="11"/>
        <v>-0.0168820814893371</v>
      </c>
      <c r="Z9" s="53">
        <f t="shared" si="12"/>
        <v>6362.759599</v>
      </c>
      <c r="AA9" s="53">
        <f t="shared" si="13"/>
        <v>5122.434012</v>
      </c>
      <c r="AB9" s="54">
        <f t="shared" si="14"/>
        <v>0.805064835830834</v>
      </c>
      <c r="AC9" s="53">
        <f t="shared" si="15"/>
        <v>6415.693385</v>
      </c>
      <c r="AD9" s="53">
        <f t="shared" si="16"/>
        <v>5276.583084</v>
      </c>
      <c r="AE9" s="54">
        <f t="shared" si="17"/>
        <v>0.822449385803995</v>
      </c>
      <c r="AF9" s="56">
        <f t="shared" si="18"/>
        <v>-154.149072</v>
      </c>
      <c r="AG9" s="58">
        <f t="shared" si="19"/>
        <v>-0.0173845499731603</v>
      </c>
      <c r="AH9" s="57" t="s">
        <v>56</v>
      </c>
    </row>
    <row r="10" s="10" customFormat="1" ht="35" customHeight="1" spans="1:34">
      <c r="A10" s="52" t="s">
        <v>14</v>
      </c>
      <c r="B10" s="70">
        <f>VLOOKUP($A10,'[1]直收代收-26应收减免 (调整)'!$A$27:$K$42,3,0)</f>
        <v>851.277401</v>
      </c>
      <c r="C10" s="70">
        <f>VLOOKUP($A10,'[1]直收代收-26应收减免 (调整)'!$A$27:$K$42,4,0)</f>
        <v>643.963491</v>
      </c>
      <c r="D10" s="54">
        <f t="shared" si="0"/>
        <v>0.756467269357242</v>
      </c>
      <c r="E10" s="70">
        <f>VLOOKUP($A10,'[1]直收代收-25应收减免（调整）'!$A$27:$K$42,3,0)</f>
        <v>806.947305</v>
      </c>
      <c r="F10" s="70">
        <f>VLOOKUP($A10,'[1]直收代收-25应收减免（调整）'!$A$27:$K$42,4,0)</f>
        <v>621.766252</v>
      </c>
      <c r="G10" s="54">
        <f t="shared" si="1"/>
        <v>0.770516548165434</v>
      </c>
      <c r="H10" s="56">
        <f t="shared" si="2"/>
        <v>22.197239</v>
      </c>
      <c r="I10" s="54">
        <f t="shared" si="3"/>
        <v>-0.0140492788081923</v>
      </c>
      <c r="J10" s="70">
        <f>VLOOKUP($A10,'[1]直收代收-26应收减免 (调整)'!$A$27:$K$42,6,0)</f>
        <v>32.198583</v>
      </c>
      <c r="K10" s="70">
        <f>VLOOKUP($A10,'[1]直收代收-26应收减免 (调整)'!$A$27:$K$42,7,0)</f>
        <v>25.287683</v>
      </c>
      <c r="L10" s="54">
        <f t="shared" si="4"/>
        <v>0.785366331182959</v>
      </c>
      <c r="M10" s="70">
        <f>VLOOKUP($A10,'[1]直收代收-25应收减免（调整）'!$A$27:$K$42,6,0)</f>
        <v>21.661296</v>
      </c>
      <c r="N10" s="70">
        <f>VLOOKUP($A10,'[1]直收代收-25应收减免（调整）'!$A$27:$K$42,7,0)</f>
        <v>12.471187</v>
      </c>
      <c r="O10" s="54">
        <f t="shared" si="5"/>
        <v>0.575735957811573</v>
      </c>
      <c r="P10" s="56">
        <f t="shared" si="6"/>
        <v>12.816496</v>
      </c>
      <c r="Q10" s="55">
        <f t="shared" si="7"/>
        <v>0.209630373371386</v>
      </c>
      <c r="R10" s="70">
        <f>VLOOKUP($A10,'[1]直收代收-26应收减免 (调整)'!$A$27:$K$42,9,0)</f>
        <v>134.770373</v>
      </c>
      <c r="S10" s="70">
        <f>VLOOKUP($A10,'[1]直收代收-26应收减免 (调整)'!$A$27:$K$42,10,0)</f>
        <v>109.118945</v>
      </c>
      <c r="T10" s="54">
        <f t="shared" si="8"/>
        <v>0.809665674814152</v>
      </c>
      <c r="U10" s="70">
        <f>VLOOKUP($A10,'[1]直收代收-25应收减免（调整）'!$A$27:$K$42,9,0)</f>
        <v>123.624</v>
      </c>
      <c r="V10" s="70">
        <f>VLOOKUP($A10,'[1]直收代收-25应收减免（调整）'!$A$27:$K$42,10,0)</f>
        <v>98.413895</v>
      </c>
      <c r="W10" s="54">
        <f t="shared" si="9"/>
        <v>0.796074346405229</v>
      </c>
      <c r="X10" s="56">
        <f t="shared" si="10"/>
        <v>10.70505</v>
      </c>
      <c r="Y10" s="55">
        <f t="shared" si="11"/>
        <v>0.0135913284089234</v>
      </c>
      <c r="Z10" s="53">
        <f t="shared" si="12"/>
        <v>1018.246357</v>
      </c>
      <c r="AA10" s="53">
        <f t="shared" si="13"/>
        <v>778.370119</v>
      </c>
      <c r="AB10" s="54">
        <f t="shared" si="14"/>
        <v>0.764422198664444</v>
      </c>
      <c r="AC10" s="53">
        <f t="shared" si="15"/>
        <v>952.232601</v>
      </c>
      <c r="AD10" s="53">
        <f t="shared" si="16"/>
        <v>732.651334</v>
      </c>
      <c r="AE10" s="54">
        <f t="shared" si="17"/>
        <v>0.76940374991425</v>
      </c>
      <c r="AF10" s="56">
        <f t="shared" si="18"/>
        <v>45.7187849999999</v>
      </c>
      <c r="AG10" s="55">
        <f t="shared" si="19"/>
        <v>-0.00498155124980659</v>
      </c>
      <c r="AH10" s="57"/>
    </row>
    <row r="11" s="10" customFormat="1" ht="35" customHeight="1" spans="1:34">
      <c r="A11" s="52" t="s">
        <v>19</v>
      </c>
      <c r="B11" s="70">
        <f>VLOOKUP($A11,'[1]直收代收-26应收减免 (调整)'!$A$27:$K$42,3,0)</f>
        <v>2417.610251</v>
      </c>
      <c r="C11" s="70">
        <f>VLOOKUP($A11,'[1]直收代收-26应收减免 (调整)'!$A$27:$K$42,4,0)</f>
        <v>1681.683904</v>
      </c>
      <c r="D11" s="54">
        <f t="shared" si="0"/>
        <v>0.695597606481195</v>
      </c>
      <c r="E11" s="70">
        <f>VLOOKUP($A11,'[1]直收代收-25应收减免（调整）'!$A$27:$K$42,3,0)</f>
        <v>2417.82548</v>
      </c>
      <c r="F11" s="70">
        <f>VLOOKUP($A11,'[1]直收代收-25应收减免（调整）'!$A$27:$K$42,4,0)</f>
        <v>1718.828233</v>
      </c>
      <c r="G11" s="54">
        <f t="shared" si="1"/>
        <v>0.710898386677603</v>
      </c>
      <c r="H11" s="56">
        <f t="shared" si="2"/>
        <v>-37.144329</v>
      </c>
      <c r="I11" s="58">
        <f t="shared" si="3"/>
        <v>-0.015300780196408</v>
      </c>
      <c r="J11" s="70">
        <f>VLOOKUP($A11,'[1]直收代收-26应收减免 (调整)'!$A$27:$K$42,6,0)</f>
        <v>754.663517</v>
      </c>
      <c r="K11" s="70">
        <f>VLOOKUP($A11,'[1]直收代收-26应收减免 (调整)'!$A$27:$K$42,7,0)</f>
        <v>718.621156</v>
      </c>
      <c r="L11" s="54">
        <f t="shared" si="4"/>
        <v>0.952240488392392</v>
      </c>
      <c r="M11" s="70">
        <f>VLOOKUP($A11,'[1]直收代收-25应收减免（调整）'!$A$27:$K$42,6,0)</f>
        <v>945.57957</v>
      </c>
      <c r="N11" s="70">
        <f>VLOOKUP($A11,'[1]直收代收-25应收减免（调整）'!$A$27:$K$42,7,0)</f>
        <v>619.768932</v>
      </c>
      <c r="O11" s="54">
        <f t="shared" si="5"/>
        <v>0.655438158419603</v>
      </c>
      <c r="P11" s="56">
        <f t="shared" si="6"/>
        <v>98.8522240000001</v>
      </c>
      <c r="Q11" s="55">
        <f t="shared" si="7"/>
        <v>0.296802329972789</v>
      </c>
      <c r="R11" s="70">
        <f>VLOOKUP($A11,'[1]直收代收-26应收减免 (调整)'!$A$27:$K$42,9,0)</f>
        <v>256.117287</v>
      </c>
      <c r="S11" s="70">
        <f>VLOOKUP($A11,'[1]直收代收-26应收减免 (调整)'!$A$27:$K$42,10,0)</f>
        <v>219.55859</v>
      </c>
      <c r="T11" s="54">
        <f t="shared" si="8"/>
        <v>0.85725798743136</v>
      </c>
      <c r="U11" s="70">
        <f>VLOOKUP($A11,'[1]直收代收-25应收减免（调整）'!$A$27:$K$42,9,0)</f>
        <v>262.494477</v>
      </c>
      <c r="V11" s="70">
        <f>VLOOKUP($A11,'[1]直收代收-25应收减免（调整）'!$A$27:$K$42,10,0)</f>
        <v>193.939904</v>
      </c>
      <c r="W11" s="54">
        <f t="shared" si="9"/>
        <v>0.738834226976897</v>
      </c>
      <c r="X11" s="56">
        <f t="shared" si="10"/>
        <v>25.618686</v>
      </c>
      <c r="Y11" s="55">
        <f t="shared" si="11"/>
        <v>0.118423760454463</v>
      </c>
      <c r="Z11" s="53">
        <f t="shared" si="12"/>
        <v>3428.391055</v>
      </c>
      <c r="AA11" s="53">
        <f t="shared" si="13"/>
        <v>2619.86365</v>
      </c>
      <c r="AB11" s="54">
        <f t="shared" si="14"/>
        <v>0.764167099951788</v>
      </c>
      <c r="AC11" s="53">
        <f t="shared" si="15"/>
        <v>3625.899527</v>
      </c>
      <c r="AD11" s="53">
        <f t="shared" si="16"/>
        <v>2532.537069</v>
      </c>
      <c r="AE11" s="54">
        <f t="shared" si="17"/>
        <v>0.698457596560976</v>
      </c>
      <c r="AF11" s="56">
        <f t="shared" si="18"/>
        <v>87.3265810000003</v>
      </c>
      <c r="AG11" s="55">
        <f t="shared" si="19"/>
        <v>0.0657095033908117</v>
      </c>
      <c r="AH11" s="57" t="s">
        <v>57</v>
      </c>
    </row>
    <row r="12" s="10" customFormat="1" ht="35" customHeight="1" spans="1:34">
      <c r="A12" s="69" t="s">
        <v>16</v>
      </c>
      <c r="B12" s="70">
        <f>VLOOKUP($A12,'[1]直收代收-26应收减免 (调整)'!$A$27:$K$42,3,0)</f>
        <v>5529.144758</v>
      </c>
      <c r="C12" s="70">
        <f>VLOOKUP($A12,'[1]直收代收-26应收减免 (调整)'!$A$27:$K$42,4,0)</f>
        <v>3555.131411</v>
      </c>
      <c r="D12" s="54">
        <f t="shared" si="0"/>
        <v>0.642980346256292</v>
      </c>
      <c r="E12" s="70">
        <f>VLOOKUP($A12,'[1]直收代收-25应收减免（调整）'!$A$27:$K$42,3,0)</f>
        <v>5510.903696</v>
      </c>
      <c r="F12" s="70">
        <f>VLOOKUP($A12,'[1]直收代收-25应收减免（调整）'!$A$27:$K$42,4,0)</f>
        <v>3813.99142</v>
      </c>
      <c r="G12" s="54">
        <f t="shared" si="1"/>
        <v>0.692080941782438</v>
      </c>
      <c r="H12" s="71">
        <f t="shared" si="2"/>
        <v>-258.860009</v>
      </c>
      <c r="I12" s="72">
        <f t="shared" si="3"/>
        <v>-0.0491005955261465</v>
      </c>
      <c r="J12" s="70">
        <f>VLOOKUP($A12,'[1]直收代收-26应收减免 (调整)'!$A$27:$K$42,6,0)</f>
        <v>466.484414</v>
      </c>
      <c r="K12" s="70">
        <f>VLOOKUP($A12,'[1]直收代收-26应收减免 (调整)'!$A$27:$K$42,7,0)</f>
        <v>446.780339</v>
      </c>
      <c r="L12" s="54">
        <f t="shared" si="4"/>
        <v>0.957760485862664</v>
      </c>
      <c r="M12" s="70">
        <f>VLOOKUP($A12,'[1]直收代收-25应收减免（调整）'!$A$27:$K$42,6,0)</f>
        <v>533.627916</v>
      </c>
      <c r="N12" s="70">
        <f>VLOOKUP($A12,'[1]直收代收-25应收减免（调整）'!$A$27:$K$42,7,0)</f>
        <v>494.909017</v>
      </c>
      <c r="O12" s="54">
        <f t="shared" si="5"/>
        <v>0.927442141164144</v>
      </c>
      <c r="P12" s="71">
        <f t="shared" si="6"/>
        <v>-48.128678</v>
      </c>
      <c r="Q12" s="54">
        <f t="shared" si="7"/>
        <v>0.0303183446985197</v>
      </c>
      <c r="R12" s="70">
        <f>VLOOKUP($A12,'[1]直收代收-26应收减免 (调整)'!$A$27:$K$42,9,0)</f>
        <v>832.774067</v>
      </c>
      <c r="S12" s="70">
        <f>VLOOKUP($A12,'[1]直收代收-26应收减免 (调整)'!$A$27:$K$42,10,0)</f>
        <v>699.325513</v>
      </c>
      <c r="T12" s="54">
        <f t="shared" si="8"/>
        <v>0.839754191096827</v>
      </c>
      <c r="U12" s="70">
        <f>VLOOKUP($A12,'[1]直收代收-25应收减免（调整）'!$A$27:$K$42,9,0)</f>
        <v>777.97955</v>
      </c>
      <c r="V12" s="70">
        <f>VLOOKUP($A12,'[1]直收代收-25应收减免（调整）'!$A$27:$K$42,10,0)</f>
        <v>807.187645</v>
      </c>
      <c r="W12" s="54">
        <f t="shared" si="9"/>
        <v>1.03754352540501</v>
      </c>
      <c r="X12" s="56">
        <f t="shared" si="10"/>
        <v>-107.862132</v>
      </c>
      <c r="Y12" s="58">
        <f t="shared" si="11"/>
        <v>-0.197789334308179</v>
      </c>
      <c r="Z12" s="53">
        <f t="shared" si="12"/>
        <v>6828.403239</v>
      </c>
      <c r="AA12" s="53">
        <f t="shared" si="13"/>
        <v>4701.237263</v>
      </c>
      <c r="AB12" s="54">
        <f t="shared" si="14"/>
        <v>0.688482665486006</v>
      </c>
      <c r="AC12" s="53">
        <f t="shared" si="15"/>
        <v>6822.511162</v>
      </c>
      <c r="AD12" s="53">
        <f t="shared" si="16"/>
        <v>5116.088082</v>
      </c>
      <c r="AE12" s="54">
        <f t="shared" si="17"/>
        <v>0.749883431557514</v>
      </c>
      <c r="AF12" s="56">
        <f t="shared" si="18"/>
        <v>-414.850819</v>
      </c>
      <c r="AG12" s="58">
        <f t="shared" si="19"/>
        <v>-0.0614007660715072</v>
      </c>
      <c r="AH12" s="57" t="s">
        <v>58</v>
      </c>
    </row>
    <row r="13" s="10" customFormat="1" ht="35" customHeight="1" spans="1:34">
      <c r="A13" s="60" t="s">
        <v>23</v>
      </c>
      <c r="B13" s="61">
        <f>SUM(B6:B12)</f>
        <v>28815.389579</v>
      </c>
      <c r="C13" s="61">
        <f>SUM(C6:C12)</f>
        <v>21639.670894</v>
      </c>
      <c r="D13" s="62">
        <f>C13/B13</f>
        <v>0.750976169684359</v>
      </c>
      <c r="E13" s="61">
        <f>SUM(E6:E12)</f>
        <v>29089.269647</v>
      </c>
      <c r="F13" s="61">
        <f>SUM(F6:F12)</f>
        <v>22111.910284</v>
      </c>
      <c r="G13" s="62">
        <f>F13/E13</f>
        <v>0.760139754360606</v>
      </c>
      <c r="H13" s="63">
        <f>SUM(H6:H12)</f>
        <v>-472.239389999999</v>
      </c>
      <c r="I13" s="62">
        <f t="shared" si="3"/>
        <v>-0.00916358467624701</v>
      </c>
      <c r="J13" s="61">
        <f>SUM(J6:J12)</f>
        <v>6470.962054</v>
      </c>
      <c r="K13" s="61">
        <f>SUM(K6:K12)</f>
        <v>6249.229178</v>
      </c>
      <c r="L13" s="62">
        <f>K13/J13</f>
        <v>0.96573417149573</v>
      </c>
      <c r="M13" s="61">
        <f>SUM(M6:M12)</f>
        <v>7013.352749</v>
      </c>
      <c r="N13" s="61">
        <f>SUM(N6:N12)</f>
        <v>6441.716113</v>
      </c>
      <c r="O13" s="62">
        <f>N13/M13</f>
        <v>0.91849310073823</v>
      </c>
      <c r="P13" s="63">
        <f>SUM(P6:P12)</f>
        <v>-192.486935</v>
      </c>
      <c r="Q13" s="62">
        <f>L13-O13</f>
        <v>0.0472410707575003</v>
      </c>
      <c r="R13" s="61">
        <f>SUM(R6:R12)</f>
        <v>3399.970569</v>
      </c>
      <c r="S13" s="61">
        <f>SUM(S6:S12)</f>
        <v>2946.314185</v>
      </c>
      <c r="T13" s="62">
        <f>S13/R13</f>
        <v>0.86657049677538</v>
      </c>
      <c r="U13" s="61">
        <f>SUM(U6:U12)</f>
        <v>3429.496534</v>
      </c>
      <c r="V13" s="61">
        <f>SUM(V6:V12)</f>
        <v>3123.549432</v>
      </c>
      <c r="W13" s="62">
        <f>V13/U13</f>
        <v>0.91078949957615</v>
      </c>
      <c r="X13" s="63">
        <f>SUM(X6:X12)</f>
        <v>-177.235247</v>
      </c>
      <c r="Y13" s="62">
        <f>T13-W13</f>
        <v>-0.0442190028007702</v>
      </c>
      <c r="Z13" s="61">
        <f>SUM(Z6:Z12)</f>
        <v>38686.322202</v>
      </c>
      <c r="AA13" s="61">
        <f>SUM(AA6:AA12)</f>
        <v>30835.214257</v>
      </c>
      <c r="AB13" s="62">
        <f>AA13/Z13</f>
        <v>0.797057267320332</v>
      </c>
      <c r="AC13" s="61">
        <f>SUM(AC6:AC12)</f>
        <v>39532.11893</v>
      </c>
      <c r="AD13" s="61">
        <f>SUM(AD6:AD12)</f>
        <v>31677.175829</v>
      </c>
      <c r="AE13" s="62">
        <f>AD13/AC13</f>
        <v>0.801302249573091</v>
      </c>
      <c r="AF13" s="63">
        <f>SUM(AF6:AF12)</f>
        <v>-841.961572000002</v>
      </c>
      <c r="AG13" s="62">
        <f>AB13-AE13</f>
        <v>-0.00424498225275993</v>
      </c>
      <c r="AH13" s="57"/>
    </row>
    <row r="14" s="10" customFormat="1" ht="35" customHeight="1" spans="1:34">
      <c r="A14" s="52" t="s">
        <v>30</v>
      </c>
      <c r="B14" s="70">
        <f>VLOOKUP($A14,'[1]直收代收-26应收减免 (调整)'!$A$27:$K$42,3,0)</f>
        <v>2277.012696</v>
      </c>
      <c r="C14" s="70">
        <f>VLOOKUP($A14,'[1]直收代收-26应收减免 (调整)'!$A$27:$K$42,4,0)</f>
        <v>2048.992364</v>
      </c>
      <c r="D14" s="54">
        <f t="shared" ref="D14:D19" si="20">IF(B14&gt;0,C14/B14,"——")</f>
        <v>0.899859876758456</v>
      </c>
      <c r="E14" s="70">
        <f>VLOOKUP($A14,'[1]直收代收-25应收减免（调整）'!$A$27:$K$42,3,0)</f>
        <v>2202.117341</v>
      </c>
      <c r="F14" s="70">
        <f>VLOOKUP($A14,'[1]直收代收-25应收减免（调整）'!$A$27:$K$42,4,0)</f>
        <v>1990.253265</v>
      </c>
      <c r="G14" s="54">
        <f t="shared" ref="G14:G19" si="21">IF(E14&gt;0,F14/E14,"——")</f>
        <v>0.903790741730506</v>
      </c>
      <c r="H14" s="56">
        <f t="shared" ref="H14:H19" si="22">C14-F14</f>
        <v>58.7390990000001</v>
      </c>
      <c r="I14" s="55">
        <f t="shared" si="3"/>
        <v>-0.00393086497204975</v>
      </c>
      <c r="J14" s="70">
        <f>VLOOKUP($A14,'[1]直收代收-26应收减免 (调整)'!$A$27:$K$42,6,0)</f>
        <v>662.305944</v>
      </c>
      <c r="K14" s="70">
        <f>VLOOKUP($A14,'[1]直收代收-26应收减免 (调整)'!$A$27:$K$42,7,0)</f>
        <v>632.499478</v>
      </c>
      <c r="L14" s="54">
        <f t="shared" ref="L14:L19" si="23">IF(J14&gt;0,K14/J14,"——")</f>
        <v>0.954995925568803</v>
      </c>
      <c r="M14" s="70">
        <f>VLOOKUP($A14,'[1]直收代收-25应收减免（调整）'!$A$27:$K$42,6,0)</f>
        <v>654.620479</v>
      </c>
      <c r="N14" s="70">
        <f>VLOOKUP($A14,'[1]直收代收-25应收减免（调整）'!$A$27:$K$42,7,0)</f>
        <v>644.479467</v>
      </c>
      <c r="O14" s="54">
        <f t="shared" ref="O14:O19" si="24">IF(M14&gt;0,N14/M14,"——")</f>
        <v>0.984508562861505</v>
      </c>
      <c r="P14" s="56">
        <f t="shared" ref="P14:P19" si="25">K14-N14</f>
        <v>-11.979989</v>
      </c>
      <c r="Q14" s="58">
        <f t="shared" ref="Q14:Q19" si="26">(K14/J14)-(N14/M14)</f>
        <v>-0.0295126372927016</v>
      </c>
      <c r="R14" s="70">
        <f>VLOOKUP($A14,'[1]直收代收-26应收减免 (调整)'!$A$27:$K$42,9,0)</f>
        <v>1211.157958</v>
      </c>
      <c r="S14" s="70">
        <f>VLOOKUP($A14,'[1]直收代收-26应收减免 (调整)'!$A$27:$K$42,10,0)</f>
        <v>1095.297514</v>
      </c>
      <c r="T14" s="54">
        <f t="shared" ref="T14:T19" si="27">IF(R14&gt;0,S14/R14,"——")</f>
        <v>0.904339113461863</v>
      </c>
      <c r="U14" s="70">
        <f>VLOOKUP($A14,'[1]直收代收-25应收减免（调整）'!$A$27:$K$42,9,0)</f>
        <v>1207.043593</v>
      </c>
      <c r="V14" s="70">
        <f>VLOOKUP($A14,'[1]直收代收-25应收减免（调整）'!$A$27:$K$42,10,0)</f>
        <v>1090.460105</v>
      </c>
      <c r="W14" s="54">
        <f t="shared" ref="W14:W19" si="28">IF(U14&gt;0,V14/U14,"——")</f>
        <v>0.903414020275571</v>
      </c>
      <c r="X14" s="56">
        <f t="shared" ref="X14:X19" si="29">S14-V14</f>
        <v>4.83740899999975</v>
      </c>
      <c r="Y14" s="55">
        <f t="shared" ref="Y14:Y19" si="30">(S14/R14)-(V14/U14)</f>
        <v>0.000925093186291748</v>
      </c>
      <c r="Z14" s="53">
        <f t="shared" ref="Z14:Z19" si="31">B14+J14+R14</f>
        <v>4150.476598</v>
      </c>
      <c r="AA14" s="53">
        <f t="shared" ref="AA14:AA19" si="32">C14+K14+S14</f>
        <v>3776.789356</v>
      </c>
      <c r="AB14" s="54">
        <f t="shared" ref="AB14:AB19" si="33">IF(Z14&gt;0,AA14/Z14,"——")</f>
        <v>0.909965221300111</v>
      </c>
      <c r="AC14" s="53">
        <f t="shared" ref="AC14:AC19" si="34">E14+M14+U14</f>
        <v>4063.781413</v>
      </c>
      <c r="AD14" s="53">
        <f t="shared" ref="AD14:AD19" si="35">F14+N14+V14</f>
        <v>3725.192837</v>
      </c>
      <c r="AE14" s="54">
        <f t="shared" ref="AE14:AE19" si="36">IF(AC14&gt;0,AD14/AC14,"——")</f>
        <v>0.916681400501302</v>
      </c>
      <c r="AF14" s="56">
        <f t="shared" ref="AF14:AF19" si="37">AA14-AD14</f>
        <v>51.5965190000002</v>
      </c>
      <c r="AG14" s="55">
        <f t="shared" ref="AG14:AG19" si="38">(AA14/Z14)-(AD14/AC14)</f>
        <v>-0.00671617920119105</v>
      </c>
      <c r="AH14" s="57" t="s">
        <v>59</v>
      </c>
    </row>
    <row r="15" s="10" customFormat="1" ht="35" customHeight="1" spans="1:34">
      <c r="A15" s="52" t="s">
        <v>24</v>
      </c>
      <c r="B15" s="70">
        <f>VLOOKUP($A15,'[1]直收代收-26应收减免 (调整)'!$A$27:$K$42,3,0)</f>
        <v>2005.39888</v>
      </c>
      <c r="C15" s="70">
        <f>VLOOKUP($A15,'[1]直收代收-26应收减免 (调整)'!$A$27:$K$42,4,0)</f>
        <v>1489.735195</v>
      </c>
      <c r="D15" s="54">
        <f t="shared" si="20"/>
        <v>0.742862285332482</v>
      </c>
      <c r="E15" s="70">
        <f>VLOOKUP($A15,'[1]直收代收-25应收减免（调整）'!$A$27:$K$42,3,0)</f>
        <v>2007.804738</v>
      </c>
      <c r="F15" s="70">
        <f>VLOOKUP($A15,'[1]直收代收-25应收减免（调整）'!$A$27:$K$42,4,0)</f>
        <v>1512.619582</v>
      </c>
      <c r="G15" s="54">
        <f t="shared" si="21"/>
        <v>0.753369863797981</v>
      </c>
      <c r="H15" s="56">
        <f t="shared" si="22"/>
        <v>-22.8843870000001</v>
      </c>
      <c r="I15" s="55">
        <f t="shared" si="3"/>
        <v>-0.0105075784654984</v>
      </c>
      <c r="J15" s="70">
        <f>VLOOKUP($A15,'[1]直收代收-26应收减免 (调整)'!$A$27:$K$42,6,0)</f>
        <v>615.432678</v>
      </c>
      <c r="K15" s="70">
        <f>VLOOKUP($A15,'[1]直收代收-26应收减免 (调整)'!$A$27:$K$42,7,0)</f>
        <v>463.460425</v>
      </c>
      <c r="L15" s="54">
        <f t="shared" si="23"/>
        <v>0.753064374979452</v>
      </c>
      <c r="M15" s="70">
        <f>VLOOKUP($A15,'[1]直收代收-25应收减免（调整）'!$A$27:$K$42,6,0)</f>
        <v>598.101677</v>
      </c>
      <c r="N15" s="70">
        <f>VLOOKUP($A15,'[1]直收代收-25应收减免（调整）'!$A$27:$K$42,7,0)</f>
        <v>462.582448</v>
      </c>
      <c r="O15" s="54">
        <f t="shared" si="24"/>
        <v>0.773417741144371</v>
      </c>
      <c r="P15" s="56">
        <f t="shared" si="25"/>
        <v>0.877977000000044</v>
      </c>
      <c r="Q15" s="58">
        <f t="shared" si="26"/>
        <v>-0.0203533661649191</v>
      </c>
      <c r="R15" s="70">
        <f>VLOOKUP($A15,'[1]直收代收-26应收减免 (调整)'!$A$27:$K$42,9,0)</f>
        <v>188.221196</v>
      </c>
      <c r="S15" s="70">
        <f>VLOOKUP($A15,'[1]直收代收-26应收减免 (调整)'!$A$27:$K$42,10,0)</f>
        <v>169.491573</v>
      </c>
      <c r="T15" s="54">
        <f t="shared" si="27"/>
        <v>0.900491424993389</v>
      </c>
      <c r="U15" s="70">
        <f>VLOOKUP($A15,'[1]直收代收-25应收减免（调整）'!$A$27:$K$42,9,0)</f>
        <v>190.402108</v>
      </c>
      <c r="V15" s="70">
        <f>VLOOKUP($A15,'[1]直收代收-25应收减免（调整）'!$A$27:$K$42,10,0)</f>
        <v>181.234327</v>
      </c>
      <c r="W15" s="54">
        <f t="shared" si="28"/>
        <v>0.951850422790487</v>
      </c>
      <c r="X15" s="56">
        <f t="shared" si="29"/>
        <v>-11.742754</v>
      </c>
      <c r="Y15" s="58">
        <f t="shared" si="30"/>
        <v>-0.0513589977970981</v>
      </c>
      <c r="Z15" s="53">
        <f t="shared" si="31"/>
        <v>2809.052754</v>
      </c>
      <c r="AA15" s="53">
        <f t="shared" si="32"/>
        <v>2122.687193</v>
      </c>
      <c r="AB15" s="54">
        <f t="shared" si="33"/>
        <v>0.755659426465865</v>
      </c>
      <c r="AC15" s="53">
        <f t="shared" si="34"/>
        <v>2796.308523</v>
      </c>
      <c r="AD15" s="53">
        <f t="shared" si="35"/>
        <v>2156.436357</v>
      </c>
      <c r="AE15" s="54">
        <f t="shared" si="36"/>
        <v>0.771172543824486</v>
      </c>
      <c r="AF15" s="56">
        <f t="shared" si="37"/>
        <v>-33.7491640000003</v>
      </c>
      <c r="AG15" s="58">
        <f t="shared" si="38"/>
        <v>-0.0155131173586202</v>
      </c>
      <c r="AH15" s="57" t="s">
        <v>60</v>
      </c>
    </row>
    <row r="16" s="10" customFormat="1" ht="35" customHeight="1" spans="1:34">
      <c r="A16" s="52" t="s">
        <v>26</v>
      </c>
      <c r="B16" s="70">
        <f>VLOOKUP($A16,'[1]直收代收-26应收减免 (调整)'!$A$27:$K$42,3,0)</f>
        <v>3377.503397</v>
      </c>
      <c r="C16" s="70">
        <f>VLOOKUP($A16,'[1]直收代收-26应收减免 (调整)'!$A$27:$K$42,4,0)</f>
        <v>2494.59693</v>
      </c>
      <c r="D16" s="54">
        <f t="shared" si="20"/>
        <v>0.738591982532357</v>
      </c>
      <c r="E16" s="70">
        <f>VLOOKUP($A16,'[1]直收代收-25应收减免（调整）'!$A$27:$K$42,3,0)</f>
        <v>3338.208618</v>
      </c>
      <c r="F16" s="70">
        <f>VLOOKUP($A16,'[1]直收代收-25应收减免（调整）'!$A$27:$K$42,4,0)</f>
        <v>2464.518667</v>
      </c>
      <c r="G16" s="54">
        <f t="shared" si="21"/>
        <v>0.73827580868105</v>
      </c>
      <c r="H16" s="56">
        <f t="shared" si="22"/>
        <v>30.0782629999999</v>
      </c>
      <c r="I16" s="55">
        <f t="shared" si="3"/>
        <v>0.000316173851307</v>
      </c>
      <c r="J16" s="70">
        <f>VLOOKUP($A16,'[1]直收代收-26应收减免 (调整)'!$A$27:$K$42,6,0)</f>
        <v>1048.332372</v>
      </c>
      <c r="K16" s="70">
        <f>VLOOKUP($A16,'[1]直收代收-26应收减免 (调整)'!$A$27:$K$42,7,0)</f>
        <v>708.314433</v>
      </c>
      <c r="L16" s="54">
        <f t="shared" si="23"/>
        <v>0.675658266327008</v>
      </c>
      <c r="M16" s="70">
        <f>VLOOKUP($A16,'[1]直收代收-25应收减免（调整）'!$A$27:$K$42,6,0)</f>
        <v>978.794238</v>
      </c>
      <c r="N16" s="70">
        <f>VLOOKUP($A16,'[1]直收代收-25应收减免（调整）'!$A$27:$K$42,7,0)</f>
        <v>596.682129</v>
      </c>
      <c r="O16" s="54">
        <f t="shared" si="24"/>
        <v>0.609609360001157</v>
      </c>
      <c r="P16" s="56">
        <f t="shared" si="25"/>
        <v>111.632304</v>
      </c>
      <c r="Q16" s="55">
        <f t="shared" si="26"/>
        <v>0.066048906325851</v>
      </c>
      <c r="R16" s="70">
        <f>VLOOKUP($A16,'[1]直收代收-26应收减免 (调整)'!$A$27:$K$42,9,0)</f>
        <v>501.83068</v>
      </c>
      <c r="S16" s="70">
        <f>VLOOKUP($A16,'[1]直收代收-26应收减免 (调整)'!$A$27:$K$42,10,0)</f>
        <v>488.467269</v>
      </c>
      <c r="T16" s="54">
        <f t="shared" si="27"/>
        <v>0.973370677536097</v>
      </c>
      <c r="U16" s="70">
        <f>VLOOKUP($A16,'[1]直收代收-25应收减免（调整）'!$A$27:$K$42,9,0)</f>
        <v>462.785321</v>
      </c>
      <c r="V16" s="70">
        <f>VLOOKUP($A16,'[1]直收代收-25应收减免（调整）'!$A$27:$K$42,10,0)</f>
        <v>460.021678</v>
      </c>
      <c r="W16" s="54">
        <f t="shared" si="28"/>
        <v>0.994028239715926</v>
      </c>
      <c r="X16" s="56">
        <f t="shared" si="29"/>
        <v>28.445591</v>
      </c>
      <c r="Y16" s="55">
        <f t="shared" si="30"/>
        <v>-0.0206575621798299</v>
      </c>
      <c r="Z16" s="53">
        <f t="shared" si="31"/>
        <v>4927.666449</v>
      </c>
      <c r="AA16" s="53">
        <f t="shared" si="32"/>
        <v>3691.378632</v>
      </c>
      <c r="AB16" s="54">
        <f t="shared" si="33"/>
        <v>0.749112926007626</v>
      </c>
      <c r="AC16" s="53">
        <f t="shared" si="34"/>
        <v>4779.788177</v>
      </c>
      <c r="AD16" s="53">
        <f t="shared" si="35"/>
        <v>3521.222474</v>
      </c>
      <c r="AE16" s="54">
        <f t="shared" si="36"/>
        <v>0.736690067343124</v>
      </c>
      <c r="AF16" s="56">
        <f t="shared" si="37"/>
        <v>170.156158</v>
      </c>
      <c r="AG16" s="55">
        <f t="shared" si="38"/>
        <v>0.012422858664502</v>
      </c>
      <c r="AH16" s="57"/>
    </row>
    <row r="17" s="10" customFormat="1" ht="35" customHeight="1" spans="1:34">
      <c r="A17" s="52" t="s">
        <v>25</v>
      </c>
      <c r="B17" s="70">
        <f>VLOOKUP($A17,'[1]直收代收-26应收减免 (调整)'!$A$27:$K$42,3,0)</f>
        <v>906.183611</v>
      </c>
      <c r="C17" s="70">
        <f>VLOOKUP($A17,'[1]直收代收-26应收减免 (调整)'!$A$27:$K$42,4,0)</f>
        <v>546.735952</v>
      </c>
      <c r="D17" s="54">
        <f t="shared" si="20"/>
        <v>0.603339042290404</v>
      </c>
      <c r="E17" s="70">
        <f>VLOOKUP($A17,'[1]直收代收-25应收减免（调整）'!$A$27:$K$42,3,0)</f>
        <v>912.735674</v>
      </c>
      <c r="F17" s="70">
        <f>VLOOKUP($A17,'[1]直收代收-25应收减免（调整）'!$A$27:$K$42,4,0)</f>
        <v>548.71593</v>
      </c>
      <c r="G17" s="54">
        <f t="shared" si="21"/>
        <v>0.601177258247496</v>
      </c>
      <c r="H17" s="56">
        <f t="shared" si="22"/>
        <v>-1.97997799999996</v>
      </c>
      <c r="I17" s="55">
        <f t="shared" si="3"/>
        <v>0.00216178404290834</v>
      </c>
      <c r="J17" s="70">
        <f>VLOOKUP($A17,'[1]直收代收-26应收减免 (调整)'!$A$27:$K$42,6,0)</f>
        <v>457.543279</v>
      </c>
      <c r="K17" s="70">
        <f>VLOOKUP($A17,'[1]直收代收-26应收减免 (调整)'!$A$27:$K$42,7,0)</f>
        <v>414.438511</v>
      </c>
      <c r="L17" s="54">
        <f t="shared" si="23"/>
        <v>0.905790839952432</v>
      </c>
      <c r="M17" s="70">
        <f>VLOOKUP($A17,'[1]直收代收-25应收减免（调整）'!$A$27:$K$42,6,0)</f>
        <v>468.849623</v>
      </c>
      <c r="N17" s="70">
        <f>VLOOKUP($A17,'[1]直收代收-25应收减免（调整）'!$A$27:$K$42,7,0)</f>
        <v>407.03753</v>
      </c>
      <c r="O17" s="54">
        <f t="shared" si="24"/>
        <v>0.868162220960131</v>
      </c>
      <c r="P17" s="56">
        <f t="shared" si="25"/>
        <v>7.400981</v>
      </c>
      <c r="Q17" s="55">
        <f t="shared" si="26"/>
        <v>0.0376286189923014</v>
      </c>
      <c r="R17" s="70">
        <f>VLOOKUP($A17,'[1]直收代收-26应收减免 (调整)'!$A$27:$K$42,9,0)</f>
        <v>240.371023</v>
      </c>
      <c r="S17" s="70">
        <f>VLOOKUP($A17,'[1]直收代收-26应收减免 (调整)'!$A$27:$K$42,10,0)</f>
        <v>239.452123</v>
      </c>
      <c r="T17" s="54">
        <f t="shared" si="27"/>
        <v>0.996177159840103</v>
      </c>
      <c r="U17" s="70">
        <f>VLOOKUP($A17,'[1]直收代收-25应收减免（调整）'!$A$27:$K$42,9,0)</f>
        <v>294.133928</v>
      </c>
      <c r="V17" s="70">
        <f>VLOOKUP($A17,'[1]直收代收-25应收减免（调整）'!$A$27:$K$42,10,0)</f>
        <v>286.651367</v>
      </c>
      <c r="W17" s="54">
        <f t="shared" si="28"/>
        <v>0.974560700797495</v>
      </c>
      <c r="X17" s="56">
        <f t="shared" si="29"/>
        <v>-47.199244</v>
      </c>
      <c r="Y17" s="55">
        <f t="shared" si="30"/>
        <v>0.0216164590426076</v>
      </c>
      <c r="Z17" s="53">
        <f t="shared" si="31"/>
        <v>1604.097913</v>
      </c>
      <c r="AA17" s="53">
        <f t="shared" si="32"/>
        <v>1200.626586</v>
      </c>
      <c r="AB17" s="54">
        <f t="shared" si="33"/>
        <v>0.748474626311667</v>
      </c>
      <c r="AC17" s="53">
        <f t="shared" si="34"/>
        <v>1675.719225</v>
      </c>
      <c r="AD17" s="53">
        <f t="shared" si="35"/>
        <v>1242.404827</v>
      </c>
      <c r="AE17" s="54">
        <f t="shared" si="36"/>
        <v>0.741415869952796</v>
      </c>
      <c r="AF17" s="56">
        <f t="shared" si="37"/>
        <v>-41.7782409999998</v>
      </c>
      <c r="AG17" s="55">
        <f t="shared" si="38"/>
        <v>0.00705875635887132</v>
      </c>
      <c r="AH17" s="57"/>
    </row>
    <row r="18" s="10" customFormat="1" ht="35" customHeight="1" spans="1:34">
      <c r="A18" s="52" t="s">
        <v>27</v>
      </c>
      <c r="B18" s="70">
        <f>VLOOKUP($A18,'[1]直收代收-26应收减免 (调整)'!$A$27:$K$42,3,0)</f>
        <v>3371.718403</v>
      </c>
      <c r="C18" s="70">
        <f>VLOOKUP($A18,'[1]直收代收-26应收减免 (调整)'!$A$27:$K$42,4,0)</f>
        <v>2046.912927</v>
      </c>
      <c r="D18" s="54">
        <f t="shared" si="20"/>
        <v>0.607083001112653</v>
      </c>
      <c r="E18" s="70">
        <f>VLOOKUP($A18,'[1]直收代收-25应收减免（调整）'!$A$27:$K$42,3,0)</f>
        <v>3361.754585</v>
      </c>
      <c r="F18" s="70">
        <f>VLOOKUP($A18,'[1]直收代收-25应收减免（调整）'!$A$27:$K$42,4,0)</f>
        <v>2073.315893</v>
      </c>
      <c r="G18" s="54">
        <f t="shared" si="21"/>
        <v>0.616736243106812</v>
      </c>
      <c r="H18" s="56">
        <f t="shared" si="22"/>
        <v>-26.4029660000001</v>
      </c>
      <c r="I18" s="55">
        <f t="shared" si="3"/>
        <v>-0.0096532419941594</v>
      </c>
      <c r="J18" s="70">
        <f>VLOOKUP($A18,'[1]直收代收-26应收减免 (调整)'!$A$27:$K$42,6,0)</f>
        <v>894.114863</v>
      </c>
      <c r="K18" s="70">
        <f>VLOOKUP($A18,'[1]直收代收-26应收减免 (调整)'!$A$27:$K$42,7,0)</f>
        <v>599.975265</v>
      </c>
      <c r="L18" s="54">
        <f t="shared" si="23"/>
        <v>0.671027056844709</v>
      </c>
      <c r="M18" s="70">
        <f>VLOOKUP($A18,'[1]直收代收-25应收减免（调整）'!$A$27:$K$42,6,0)</f>
        <v>887.162491</v>
      </c>
      <c r="N18" s="70">
        <f>VLOOKUP($A18,'[1]直收代收-25应收减免（调整）'!$A$27:$K$42,7,0)</f>
        <v>548.781926</v>
      </c>
      <c r="O18" s="54">
        <f t="shared" si="24"/>
        <v>0.618581073441708</v>
      </c>
      <c r="P18" s="56">
        <f t="shared" si="25"/>
        <v>51.193339</v>
      </c>
      <c r="Q18" s="55">
        <f t="shared" si="26"/>
        <v>0.0524459834030003</v>
      </c>
      <c r="R18" s="70">
        <f>VLOOKUP($A18,'[1]直收代收-26应收减免 (调整)'!$A$27:$K$42,9,0)</f>
        <v>341.090308</v>
      </c>
      <c r="S18" s="70">
        <f>VLOOKUP($A18,'[1]直收代收-26应收减免 (调整)'!$A$27:$K$42,10,0)</f>
        <v>326.634334</v>
      </c>
      <c r="T18" s="54">
        <f t="shared" si="27"/>
        <v>0.957618338425494</v>
      </c>
      <c r="U18" s="70">
        <f>VLOOKUP($A18,'[1]直收代收-25应收减免（调整）'!$A$27:$K$42,9,0)</f>
        <v>324.804674</v>
      </c>
      <c r="V18" s="70">
        <f>VLOOKUP($A18,'[1]直收代收-25应收减免（调整）'!$A$27:$K$42,10,0)</f>
        <v>310.048237</v>
      </c>
      <c r="W18" s="54">
        <f t="shared" si="28"/>
        <v>0.954568273854335</v>
      </c>
      <c r="X18" s="56">
        <f t="shared" si="29"/>
        <v>16.5860970000001</v>
      </c>
      <c r="Y18" s="55">
        <f t="shared" si="30"/>
        <v>0.00305006457115919</v>
      </c>
      <c r="Z18" s="53">
        <f t="shared" si="31"/>
        <v>4606.923574</v>
      </c>
      <c r="AA18" s="53">
        <f t="shared" si="32"/>
        <v>2973.522526</v>
      </c>
      <c r="AB18" s="54">
        <f t="shared" si="33"/>
        <v>0.645446462967523</v>
      </c>
      <c r="AC18" s="53">
        <f t="shared" si="34"/>
        <v>4573.72175</v>
      </c>
      <c r="AD18" s="53">
        <f t="shared" si="35"/>
        <v>2932.146056</v>
      </c>
      <c r="AE18" s="54">
        <f t="shared" si="36"/>
        <v>0.641085360297661</v>
      </c>
      <c r="AF18" s="56">
        <f t="shared" si="37"/>
        <v>41.3764699999997</v>
      </c>
      <c r="AG18" s="55">
        <f t="shared" si="38"/>
        <v>0.00436110266986167</v>
      </c>
      <c r="AH18" s="57"/>
    </row>
    <row r="19" s="10" customFormat="1" ht="35" customHeight="1" spans="1:34">
      <c r="A19" s="52" t="s">
        <v>29</v>
      </c>
      <c r="B19" s="70">
        <f>VLOOKUP($A19,'[1]直收代收-26应收减免 (调整)'!$A$27:$K$42,3,0)</f>
        <v>1083.099351</v>
      </c>
      <c r="C19" s="70">
        <f>VLOOKUP($A19,'[1]直收代收-26应收减免 (调整)'!$A$27:$K$42,4,0)</f>
        <v>620.746132</v>
      </c>
      <c r="D19" s="54">
        <f t="shared" si="20"/>
        <v>0.573120214158452</v>
      </c>
      <c r="E19" s="70">
        <f>VLOOKUP($A19,'[1]直收代收-25应收减免（调整）'!$A$27:$K$42,3,0)</f>
        <v>1064.953314</v>
      </c>
      <c r="F19" s="70">
        <f>VLOOKUP($A19,'[1]直收代收-25应收减免（调整）'!$A$27:$K$42,4,0)</f>
        <v>590.847763</v>
      </c>
      <c r="G19" s="54">
        <f t="shared" si="21"/>
        <v>0.554810952961643</v>
      </c>
      <c r="H19" s="56">
        <f t="shared" si="22"/>
        <v>29.898369</v>
      </c>
      <c r="I19" s="55">
        <f t="shared" si="3"/>
        <v>0.0183092611968085</v>
      </c>
      <c r="J19" s="70">
        <f>VLOOKUP($A19,'[1]直收代收-26应收减免 (调整)'!$A$27:$K$42,6,0)</f>
        <v>247.835582</v>
      </c>
      <c r="K19" s="70">
        <f>VLOOKUP($A19,'[1]直收代收-26应收减免 (调整)'!$A$27:$K$42,7,0)</f>
        <v>191.326943</v>
      </c>
      <c r="L19" s="54">
        <f t="shared" si="23"/>
        <v>0.771991420505551</v>
      </c>
      <c r="M19" s="70">
        <f>VLOOKUP($A19,'[1]直收代收-25应收减免（调整）'!$A$27:$K$42,6,0)</f>
        <v>255.400905</v>
      </c>
      <c r="N19" s="70">
        <f>VLOOKUP($A19,'[1]直收代收-25应收减免（调整）'!$A$27:$K$42,7,0)</f>
        <v>181.355168</v>
      </c>
      <c r="O19" s="54">
        <f t="shared" si="24"/>
        <v>0.71008036561186</v>
      </c>
      <c r="P19" s="56">
        <f t="shared" si="25"/>
        <v>9.97177500000001</v>
      </c>
      <c r="Q19" s="55">
        <f t="shared" si="26"/>
        <v>0.0619110548936909</v>
      </c>
      <c r="R19" s="70">
        <f>VLOOKUP($A19,'[1]直收代收-26应收减免 (调整)'!$A$27:$K$42,9,0)</f>
        <v>372.635156</v>
      </c>
      <c r="S19" s="70">
        <f>VLOOKUP($A19,'[1]直收代收-26应收减免 (调整)'!$A$27:$K$42,10,0)</f>
        <v>201.464056</v>
      </c>
      <c r="T19" s="54">
        <f t="shared" si="27"/>
        <v>0.540646937778463</v>
      </c>
      <c r="U19" s="70">
        <f>VLOOKUP($A19,'[1]直收代收-25应收减免（调整）'!$A$27:$K$42,9,0)</f>
        <v>369.570577</v>
      </c>
      <c r="V19" s="70">
        <f>VLOOKUP($A19,'[1]直收代收-25应收减免（调整）'!$A$27:$K$42,10,0)</f>
        <v>168.968891</v>
      </c>
      <c r="W19" s="54">
        <f t="shared" si="28"/>
        <v>0.457203309775388</v>
      </c>
      <c r="X19" s="56">
        <f t="shared" si="29"/>
        <v>32.495165</v>
      </c>
      <c r="Y19" s="55">
        <f t="shared" si="30"/>
        <v>0.0834436280030751</v>
      </c>
      <c r="Z19" s="53">
        <f t="shared" si="31"/>
        <v>1703.570089</v>
      </c>
      <c r="AA19" s="53">
        <f t="shared" si="32"/>
        <v>1013.537131</v>
      </c>
      <c r="AB19" s="54">
        <f t="shared" si="33"/>
        <v>0.594948888539684</v>
      </c>
      <c r="AC19" s="53">
        <f t="shared" si="34"/>
        <v>1689.924796</v>
      </c>
      <c r="AD19" s="53">
        <f t="shared" si="35"/>
        <v>941.171822</v>
      </c>
      <c r="AE19" s="54">
        <f t="shared" si="36"/>
        <v>0.556931186658557</v>
      </c>
      <c r="AF19" s="56">
        <f t="shared" si="37"/>
        <v>72.365309</v>
      </c>
      <c r="AG19" s="55">
        <f t="shared" si="38"/>
        <v>0.0380177018811265</v>
      </c>
      <c r="AH19" s="57"/>
    </row>
    <row r="20" s="10" customFormat="1" ht="35" customHeight="1" spans="1:34">
      <c r="A20" s="60" t="s">
        <v>23</v>
      </c>
      <c r="B20" s="61">
        <f>SUM(B14:B19)</f>
        <v>13020.916338</v>
      </c>
      <c r="C20" s="61">
        <f>SUM(C14:C19)</f>
        <v>9247.7195</v>
      </c>
      <c r="D20" s="62">
        <f>C20/B20</f>
        <v>0.710220330116985</v>
      </c>
      <c r="E20" s="61">
        <f>SUM(E14:E19)</f>
        <v>12887.57427</v>
      </c>
      <c r="F20" s="61">
        <f>SUM(F14:F19)</f>
        <v>9180.2711</v>
      </c>
      <c r="G20" s="62">
        <f>F20/E20</f>
        <v>0.712335068467466</v>
      </c>
      <c r="H20" s="61">
        <f>SUM(H14:H19)</f>
        <v>67.4483999999999</v>
      </c>
      <c r="I20" s="62">
        <f t="shared" si="3"/>
        <v>-0.00211473835048104</v>
      </c>
      <c r="J20" s="61">
        <f>SUM(J14:J19)</f>
        <v>3925.564718</v>
      </c>
      <c r="K20" s="61">
        <f>SUM(K14:K19)</f>
        <v>3010.015055</v>
      </c>
      <c r="L20" s="62">
        <f>K20/J20</f>
        <v>0.766772495482776</v>
      </c>
      <c r="M20" s="61">
        <f>SUM(M14:M19)</f>
        <v>3842.929413</v>
      </c>
      <c r="N20" s="61">
        <f>SUM(N14:N19)</f>
        <v>2840.918668</v>
      </c>
      <c r="O20" s="62">
        <f>N20/M20</f>
        <v>0.739258613075129</v>
      </c>
      <c r="P20" s="61">
        <f>SUM(P14:P19)</f>
        <v>169.096387</v>
      </c>
      <c r="Q20" s="62">
        <f t="shared" ref="Q20:Q22" si="39">L20-O20</f>
        <v>0.027513882407647</v>
      </c>
      <c r="R20" s="61">
        <f>SUM(R14:R19)</f>
        <v>2855.306321</v>
      </c>
      <c r="S20" s="61">
        <f>SUM(S14:S19)</f>
        <v>2520.806869</v>
      </c>
      <c r="T20" s="62">
        <f>S20/R20</f>
        <v>0.882849889155553</v>
      </c>
      <c r="U20" s="61">
        <f>SUM(U14:U19)</f>
        <v>2848.740201</v>
      </c>
      <c r="V20" s="61">
        <f>SUM(V14:V19)</f>
        <v>2497.384605</v>
      </c>
      <c r="W20" s="62">
        <f>V20/U20</f>
        <v>0.876662815416912</v>
      </c>
      <c r="X20" s="61">
        <f>SUM(X14:X19)</f>
        <v>23.4222639999998</v>
      </c>
      <c r="Y20" s="62">
        <f t="shared" ref="Y20:Y22" si="40">T20-W20</f>
        <v>0.00618707373864091</v>
      </c>
      <c r="Z20" s="61">
        <f>SUM(Z14:Z19)</f>
        <v>19801.787377</v>
      </c>
      <c r="AA20" s="61">
        <f>SUM(AA14:AA19)</f>
        <v>14778.541424</v>
      </c>
      <c r="AB20" s="62">
        <f>AA20/Z20</f>
        <v>0.746323609209411</v>
      </c>
      <c r="AC20" s="61">
        <f>SUM(AC14:AC19)</f>
        <v>19579.243884</v>
      </c>
      <c r="AD20" s="61">
        <f>SUM(AD14:AD19)</f>
        <v>14518.574373</v>
      </c>
      <c r="AE20" s="62">
        <f>AD20/AC20</f>
        <v>0.741528858776026</v>
      </c>
      <c r="AF20" s="61">
        <f>SUM(AF14:AF19)</f>
        <v>259.967051</v>
      </c>
      <c r="AG20" s="62">
        <f t="shared" ref="AG20:AG22" si="41">AB20-AE20</f>
        <v>0.00479475043338551</v>
      </c>
      <c r="AH20" s="57"/>
    </row>
    <row r="21" s="10" customFormat="1" ht="35" customHeight="1" spans="1:34">
      <c r="A21" s="60" t="s">
        <v>32</v>
      </c>
      <c r="B21" s="61">
        <f>B20+B13</f>
        <v>41836.305917</v>
      </c>
      <c r="C21" s="61">
        <f>C20+C13</f>
        <v>30887.390394</v>
      </c>
      <c r="D21" s="62">
        <f>C21/B21</f>
        <v>0.7382915321271</v>
      </c>
      <c r="E21" s="61">
        <f>E20+E13</f>
        <v>41976.843917</v>
      </c>
      <c r="F21" s="61">
        <f>F20+F13</f>
        <v>31292.181384</v>
      </c>
      <c r="G21" s="62">
        <f>F21/E21</f>
        <v>0.745462937753811</v>
      </c>
      <c r="H21" s="61">
        <f>H20+H13</f>
        <v>-404.790989999999</v>
      </c>
      <c r="I21" s="62">
        <f t="shared" si="3"/>
        <v>-0.00717140562671048</v>
      </c>
      <c r="J21" s="61">
        <f>J20+J13</f>
        <v>10396.526772</v>
      </c>
      <c r="K21" s="61">
        <f>K20+K13</f>
        <v>9259.244233</v>
      </c>
      <c r="L21" s="62">
        <f>K21/J21</f>
        <v>0.890609377156327</v>
      </c>
      <c r="M21" s="61">
        <f>M20+M13</f>
        <v>10856.282162</v>
      </c>
      <c r="N21" s="61">
        <f>N20+N13</f>
        <v>9282.634781</v>
      </c>
      <c r="O21" s="62">
        <f>N21/M21</f>
        <v>0.855047302795039</v>
      </c>
      <c r="P21" s="61">
        <f>P20+P13</f>
        <v>-23.3905479999996</v>
      </c>
      <c r="Q21" s="62">
        <f t="shared" si="39"/>
        <v>0.0355620743612877</v>
      </c>
      <c r="R21" s="61">
        <f>R20+R13</f>
        <v>6255.27689</v>
      </c>
      <c r="S21" s="61">
        <f>S20+S13</f>
        <v>5467.121054</v>
      </c>
      <c r="T21" s="62">
        <f>S21/R21</f>
        <v>0.874001447120593</v>
      </c>
      <c r="U21" s="61">
        <f>U20+U13</f>
        <v>6278.236735</v>
      </c>
      <c r="V21" s="61">
        <f>V20+V13</f>
        <v>5620.934037</v>
      </c>
      <c r="W21" s="62">
        <f>V21/U21</f>
        <v>0.895304569460457</v>
      </c>
      <c r="X21" s="61">
        <f>X20+X13</f>
        <v>-153.812983</v>
      </c>
      <c r="Y21" s="62">
        <f t="shared" si="40"/>
        <v>-0.0213031223398643</v>
      </c>
      <c r="Z21" s="61">
        <f>Z20+Z13</f>
        <v>58488.109579</v>
      </c>
      <c r="AA21" s="61">
        <f>AA20+AA13</f>
        <v>45613.755681</v>
      </c>
      <c r="AB21" s="62">
        <f>AA21/Z21</f>
        <v>0.779880834058919</v>
      </c>
      <c r="AC21" s="61">
        <f>AC20+AC13</f>
        <v>59111.362814</v>
      </c>
      <c r="AD21" s="61">
        <f>AD20+AD13</f>
        <v>46195.750202</v>
      </c>
      <c r="AE21" s="62">
        <f>AD21/AC21</f>
        <v>0.781503724543785</v>
      </c>
      <c r="AF21" s="61">
        <f>AF20+AF13</f>
        <v>-581.994521000002</v>
      </c>
      <c r="AG21" s="62">
        <f t="shared" si="41"/>
        <v>-0.00162289048486552</v>
      </c>
      <c r="AH21" s="57"/>
    </row>
    <row r="22" s="68" customFormat="1" ht="15" customHeight="1" spans="1:34">
      <c r="A22" s="73"/>
      <c r="B22" s="74"/>
      <c r="C22" s="74"/>
      <c r="D22" s="75"/>
      <c r="E22" s="74"/>
      <c r="F22" s="74"/>
      <c r="G22" s="75"/>
      <c r="H22" s="74"/>
      <c r="I22" s="75"/>
      <c r="J22" s="74"/>
      <c r="K22" s="74"/>
      <c r="L22" s="75"/>
      <c r="M22" s="74"/>
      <c r="N22" s="74"/>
      <c r="O22" s="75"/>
      <c r="P22" s="74"/>
      <c r="Q22" s="75"/>
      <c r="R22" s="74"/>
      <c r="S22" s="74"/>
      <c r="T22" s="75"/>
      <c r="U22" s="74"/>
      <c r="V22" s="74"/>
      <c r="W22" s="75"/>
      <c r="X22" s="74"/>
      <c r="Y22" s="75"/>
      <c r="Z22" s="74"/>
      <c r="AA22" s="74"/>
      <c r="AB22" s="75"/>
      <c r="AC22" s="74"/>
      <c r="AD22" s="74"/>
      <c r="AE22" s="75"/>
      <c r="AF22" s="74"/>
      <c r="AG22" s="75"/>
    </row>
    <row r="23" s="10" customFormat="1" ht="34" customHeight="1" spans="1:34">
      <c r="A23" s="41" t="s">
        <v>61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</row>
    <row r="24" s="10" customFormat="1" customHeight="1" spans="1:34">
      <c r="A24" s="12" t="s">
        <v>62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="10" customFormat="1" customHeight="1" spans="1:34">
      <c r="A25" s="14" t="s">
        <v>1</v>
      </c>
      <c r="B25" s="14" t="s">
        <v>52</v>
      </c>
      <c r="C25" s="14"/>
      <c r="D25" s="14"/>
      <c r="E25" s="14"/>
      <c r="F25" s="14"/>
      <c r="G25" s="14"/>
      <c r="H25" s="14"/>
      <c r="I25" s="14"/>
      <c r="J25" s="14" t="s">
        <v>53</v>
      </c>
      <c r="K25" s="14"/>
      <c r="L25" s="14"/>
      <c r="M25" s="14"/>
      <c r="N25" s="14"/>
      <c r="O25" s="14"/>
      <c r="P25" s="14"/>
      <c r="Q25" s="14"/>
      <c r="R25" s="14" t="s">
        <v>63</v>
      </c>
      <c r="S25" s="14"/>
      <c r="T25" s="14"/>
      <c r="U25" s="14"/>
      <c r="V25" s="14"/>
      <c r="W25" s="14"/>
      <c r="X25" s="14"/>
      <c r="Y25" s="14"/>
      <c r="Z25" s="14" t="s">
        <v>32</v>
      </c>
      <c r="AA25" s="14"/>
      <c r="AB25" s="14"/>
      <c r="AC25" s="14"/>
      <c r="AD25" s="14"/>
      <c r="AE25" s="14"/>
      <c r="AF25" s="14"/>
      <c r="AG25" s="14"/>
      <c r="AH25" s="43" t="s">
        <v>13</v>
      </c>
    </row>
    <row r="26" s="10" customFormat="1" customHeight="1" spans="1:34">
      <c r="A26" s="14"/>
      <c r="B26" s="22" t="s">
        <v>43</v>
      </c>
      <c r="C26" s="23"/>
      <c r="D26" s="24"/>
      <c r="E26" s="22" t="s">
        <v>44</v>
      </c>
      <c r="F26" s="23"/>
      <c r="G26" s="24"/>
      <c r="H26" s="15" t="s">
        <v>45</v>
      </c>
      <c r="I26" s="15"/>
      <c r="J26" s="22" t="s">
        <v>43</v>
      </c>
      <c r="K26" s="23"/>
      <c r="L26" s="24"/>
      <c r="M26" s="22" t="s">
        <v>44</v>
      </c>
      <c r="N26" s="23"/>
      <c r="O26" s="24"/>
      <c r="P26" s="15" t="s">
        <v>45</v>
      </c>
      <c r="Q26" s="15"/>
      <c r="R26" s="22" t="s">
        <v>43</v>
      </c>
      <c r="S26" s="23"/>
      <c r="T26" s="24"/>
      <c r="U26" s="22" t="s">
        <v>44</v>
      </c>
      <c r="V26" s="23"/>
      <c r="W26" s="24"/>
      <c r="X26" s="15" t="s">
        <v>45</v>
      </c>
      <c r="Y26" s="15"/>
      <c r="Z26" s="22" t="s">
        <v>43</v>
      </c>
      <c r="AA26" s="23"/>
      <c r="AB26" s="24"/>
      <c r="AC26" s="22" t="s">
        <v>44</v>
      </c>
      <c r="AD26" s="23"/>
      <c r="AE26" s="24"/>
      <c r="AF26" s="15" t="s">
        <v>45</v>
      </c>
      <c r="AG26" s="15"/>
      <c r="AH26" s="47"/>
    </row>
    <row r="27" s="10" customFormat="1" customHeight="1" spans="1:34">
      <c r="A27" s="14"/>
      <c r="B27" s="14" t="s">
        <v>46</v>
      </c>
      <c r="C27" s="14" t="s">
        <v>47</v>
      </c>
      <c r="D27" s="14" t="s">
        <v>48</v>
      </c>
      <c r="E27" s="14" t="s">
        <v>46</v>
      </c>
      <c r="F27" s="14" t="s">
        <v>47</v>
      </c>
      <c r="G27" s="14" t="s">
        <v>48</v>
      </c>
      <c r="H27" s="15" t="s">
        <v>47</v>
      </c>
      <c r="I27" s="15" t="s">
        <v>48</v>
      </c>
      <c r="J27" s="14" t="s">
        <v>46</v>
      </c>
      <c r="K27" s="14" t="s">
        <v>47</v>
      </c>
      <c r="L27" s="14" t="s">
        <v>48</v>
      </c>
      <c r="M27" s="14" t="s">
        <v>46</v>
      </c>
      <c r="N27" s="14" t="s">
        <v>47</v>
      </c>
      <c r="O27" s="14" t="s">
        <v>48</v>
      </c>
      <c r="P27" s="15" t="s">
        <v>47</v>
      </c>
      <c r="Q27" s="15" t="s">
        <v>48</v>
      </c>
      <c r="R27" s="14" t="s">
        <v>46</v>
      </c>
      <c r="S27" s="14" t="s">
        <v>47</v>
      </c>
      <c r="T27" s="14" t="s">
        <v>48</v>
      </c>
      <c r="U27" s="14" t="s">
        <v>46</v>
      </c>
      <c r="V27" s="14" t="s">
        <v>47</v>
      </c>
      <c r="W27" s="14" t="s">
        <v>48</v>
      </c>
      <c r="X27" s="15" t="s">
        <v>47</v>
      </c>
      <c r="Y27" s="15" t="s">
        <v>48</v>
      </c>
      <c r="Z27" s="14" t="s">
        <v>46</v>
      </c>
      <c r="AA27" s="14" t="s">
        <v>47</v>
      </c>
      <c r="AB27" s="14" t="s">
        <v>48</v>
      </c>
      <c r="AC27" s="14" t="s">
        <v>46</v>
      </c>
      <c r="AD27" s="14" t="s">
        <v>47</v>
      </c>
      <c r="AE27" s="14" t="s">
        <v>48</v>
      </c>
      <c r="AF27" s="15" t="s">
        <v>47</v>
      </c>
      <c r="AG27" s="15" t="s">
        <v>48</v>
      </c>
      <c r="AH27" s="51"/>
    </row>
    <row r="28" s="10" customFormat="1" ht="35" customHeight="1" spans="1:34">
      <c r="A28" s="52" t="s">
        <v>14</v>
      </c>
      <c r="B28" s="70">
        <f>VLOOKUP($A28,'[1]直收代收-26应收减免 (调整)'!$O$27:$Y$42,3,0)</f>
        <v>1166.328406</v>
      </c>
      <c r="C28" s="70">
        <f>VLOOKUP($A28,'[1]直收代收-26应收减免 (调整)'!$O$27:$Y$42,4,0)</f>
        <v>748.718538</v>
      </c>
      <c r="D28" s="54">
        <f t="shared" ref="D28:D34" si="42">IF(B28&gt;0,C28/B28,"——")</f>
        <v>0.641944870885705</v>
      </c>
      <c r="E28" s="70">
        <f>VLOOKUP($A28,'[1]直收代收-25应收减免（调整）'!$O$27:$Y$42,3,0)</f>
        <v>452.387971</v>
      </c>
      <c r="F28" s="70">
        <f>VLOOKUP($A28,'[1]直收代收-25应收减免（调整）'!$O$27:$Y$42,4,0)</f>
        <v>236.218723</v>
      </c>
      <c r="G28" s="54">
        <f t="shared" ref="G28:G34" si="43">IF(E28&gt;0,F28/E28,"——")</f>
        <v>0.522159602249902</v>
      </c>
      <c r="H28" s="71">
        <f t="shared" ref="H28:H34" si="44">C28-F28</f>
        <v>512.499815</v>
      </c>
      <c r="I28" s="54">
        <f t="shared" ref="I28:I43" si="45">D28-G28</f>
        <v>0.119785268635803</v>
      </c>
      <c r="J28" s="70">
        <f>VLOOKUP($A28,'[1]直收代收-26应收减免 (调整)'!$O$27:$Y$42,6,0)</f>
        <v>24.571322</v>
      </c>
      <c r="K28" s="70">
        <f>VLOOKUP($A28,'[1]直收代收-26应收减免 (调整)'!$O$27:$Y$42,7,0)</f>
        <v>24.571322</v>
      </c>
      <c r="L28" s="54">
        <f t="shared" ref="L28:L34" si="46">IF(J28&gt;0,K28/J28,"——")</f>
        <v>1</v>
      </c>
      <c r="M28" s="70">
        <f>VLOOKUP($A28,'[1]直收代收-25应收减免（调整）'!$O$27:$Y$42,6,0)</f>
        <v>112.101246</v>
      </c>
      <c r="N28" s="70">
        <f>VLOOKUP($A28,'[1]直收代收-25应收减免（调整）'!$O$27:$Y$42,7,0)</f>
        <v>112.101246</v>
      </c>
      <c r="O28" s="54">
        <f t="shared" ref="O28:O34" si="47">IF(M28&gt;0,N28/M28,"——")</f>
        <v>1</v>
      </c>
      <c r="P28" s="71">
        <f t="shared" ref="P28:P34" si="48">K28-N28</f>
        <v>-87.529924</v>
      </c>
      <c r="Q28" s="54">
        <f t="shared" ref="Q28:Q34" si="49">(K28/J28)-(N28/M28)</f>
        <v>0</v>
      </c>
      <c r="R28" s="70">
        <f>VLOOKUP($A28,'[1]直收代收-26应收减免 (调整)'!$O$27:$Y$42,9,0)</f>
        <v>67.697682</v>
      </c>
      <c r="S28" s="70">
        <f>VLOOKUP($A28,'[1]直收代收-26应收减免 (调整)'!$O$27:$Y$42,10,0)</f>
        <v>65.227095</v>
      </c>
      <c r="T28" s="54">
        <f t="shared" ref="T28:T34" si="50">IF(R28&gt;0,S28/R28,"——")</f>
        <v>0.963505589452826</v>
      </c>
      <c r="U28" s="70">
        <f>VLOOKUP($A28,'[1]直收代收-25应收减免（调整）'!$O$27:$Y$42,9,0)</f>
        <v>49.231262</v>
      </c>
      <c r="V28" s="70">
        <f>VLOOKUP($A28,'[1]直收代收-25应收减免（调整）'!$O$27:$Y$42,10,0)</f>
        <v>41.618247</v>
      </c>
      <c r="W28" s="54">
        <f t="shared" ref="W28:W34" si="51">IF(U28&gt;0,V28/U28,"——")</f>
        <v>0.845362180640423</v>
      </c>
      <c r="X28" s="56">
        <f t="shared" ref="X28:X34" si="52">S28-V28</f>
        <v>23.608848</v>
      </c>
      <c r="Y28" s="55">
        <f t="shared" ref="Y28:Y34" si="53">(S28/R28)-(V28/U28)</f>
        <v>0.118143408812403</v>
      </c>
      <c r="Z28" s="53">
        <f t="shared" ref="Z28:Z34" si="54">B28+J28+R28</f>
        <v>1258.59741</v>
      </c>
      <c r="AA28" s="53">
        <f t="shared" ref="AA28:AA34" si="55">C28+K28+S28</f>
        <v>838.516955</v>
      </c>
      <c r="AB28" s="54">
        <f t="shared" ref="AB28:AB34" si="56">IF(Z28&gt;0,AA28/Z28,"——")</f>
        <v>0.666231273271093</v>
      </c>
      <c r="AC28" s="53">
        <f t="shared" ref="AC28:AC34" si="57">E28+M28+U28</f>
        <v>613.720479</v>
      </c>
      <c r="AD28" s="53">
        <f t="shared" ref="AD28:AD34" si="58">F28+N28+V28</f>
        <v>389.938216</v>
      </c>
      <c r="AE28" s="54">
        <f t="shared" ref="AE28:AE34" si="59">IF(AC28&gt;0,AD28/AC28,"——")</f>
        <v>0.635367776280446</v>
      </c>
      <c r="AF28" s="56">
        <f t="shared" ref="AF28:AF34" si="60">AA28-AD28</f>
        <v>448.578739</v>
      </c>
      <c r="AG28" s="55">
        <f t="shared" ref="AG28:AG34" si="61">(AA28/Z28)-(AD28/AC28)</f>
        <v>0.0308634969906473</v>
      </c>
      <c r="AH28" s="57"/>
    </row>
    <row r="29" s="10" customFormat="1" ht="35" customHeight="1" spans="1:34">
      <c r="A29" s="52" t="s">
        <v>21</v>
      </c>
      <c r="B29" s="70">
        <f>VLOOKUP($A29,'[1]直收代收-26应收减免 (调整)'!$O$27:$Y$42,3,0)</f>
        <v>3759.518048</v>
      </c>
      <c r="C29" s="70">
        <f>VLOOKUP($A29,'[1]直收代收-26应收减免 (调整)'!$O$27:$Y$42,4,0)</f>
        <v>2216.735922</v>
      </c>
      <c r="D29" s="54">
        <f t="shared" si="42"/>
        <v>0.58963300446962</v>
      </c>
      <c r="E29" s="70">
        <f>VLOOKUP($A29,'[1]直收代收-25应收减免（调整）'!$O$27:$Y$42,3,0)</f>
        <v>3360.0445</v>
      </c>
      <c r="F29" s="70">
        <f>VLOOKUP($A29,'[1]直收代收-25应收减免（调整）'!$O$27:$Y$42,4,0)</f>
        <v>1912.377647</v>
      </c>
      <c r="G29" s="54">
        <f t="shared" si="43"/>
        <v>0.569152476105599</v>
      </c>
      <c r="H29" s="71">
        <f t="shared" si="44"/>
        <v>304.358275</v>
      </c>
      <c r="I29" s="54">
        <f t="shared" si="45"/>
        <v>0.0204805283640205</v>
      </c>
      <c r="J29" s="70">
        <f>VLOOKUP($A29,'[1]直收代收-26应收减免 (调整)'!$O$27:$Y$42,6,0)</f>
        <v>233.386131</v>
      </c>
      <c r="K29" s="70">
        <f>VLOOKUP($A29,'[1]直收代收-26应收减免 (调整)'!$O$27:$Y$42,7,0)</f>
        <v>166.357715</v>
      </c>
      <c r="L29" s="54">
        <f t="shared" si="46"/>
        <v>0.712800346306782</v>
      </c>
      <c r="M29" s="70">
        <f>VLOOKUP($A29,'[1]直收代收-25应收减免（调整）'!$O$27:$Y$42,6,0)</f>
        <v>165.454339</v>
      </c>
      <c r="N29" s="70">
        <f>VLOOKUP($A29,'[1]直收代收-25应收减免（调整）'!$O$27:$Y$42,7,0)</f>
        <v>145.666138</v>
      </c>
      <c r="O29" s="54">
        <f t="shared" si="47"/>
        <v>0.88040083373093</v>
      </c>
      <c r="P29" s="71">
        <f t="shared" si="48"/>
        <v>20.691577</v>
      </c>
      <c r="Q29" s="54">
        <f t="shared" si="49"/>
        <v>-0.167600487424148</v>
      </c>
      <c r="R29" s="70">
        <f>VLOOKUP($A29,'[1]直收代收-26应收减免 (调整)'!$O$27:$Y$42,9,0)</f>
        <v>137.32197</v>
      </c>
      <c r="S29" s="70">
        <f>VLOOKUP($A29,'[1]直收代收-26应收减免 (调整)'!$O$27:$Y$42,10,0)</f>
        <v>131.767525</v>
      </c>
      <c r="T29" s="54">
        <f t="shared" si="50"/>
        <v>0.959551665330755</v>
      </c>
      <c r="U29" s="70">
        <f>VLOOKUP($A29,'[1]直收代收-25应收减免（调整）'!$O$27:$Y$42,9,0)</f>
        <v>151.476379</v>
      </c>
      <c r="V29" s="70">
        <f>VLOOKUP($A29,'[1]直收代收-25应收减免（调整）'!$O$27:$Y$42,10,0)</f>
        <v>148.032436</v>
      </c>
      <c r="W29" s="54">
        <f t="shared" si="51"/>
        <v>0.977264158129896</v>
      </c>
      <c r="X29" s="56">
        <f t="shared" si="52"/>
        <v>-16.264911</v>
      </c>
      <c r="Y29" s="58">
        <f t="shared" si="53"/>
        <v>-0.0177124927991403</v>
      </c>
      <c r="Z29" s="53">
        <f t="shared" si="54"/>
        <v>4130.226149</v>
      </c>
      <c r="AA29" s="53">
        <f t="shared" si="55"/>
        <v>2514.861162</v>
      </c>
      <c r="AB29" s="54">
        <f t="shared" si="56"/>
        <v>0.60889187934876</v>
      </c>
      <c r="AC29" s="53">
        <f t="shared" si="57"/>
        <v>3676.975218</v>
      </c>
      <c r="AD29" s="53">
        <f t="shared" si="58"/>
        <v>2206.076221</v>
      </c>
      <c r="AE29" s="54">
        <f t="shared" si="59"/>
        <v>0.599970380599938</v>
      </c>
      <c r="AF29" s="56">
        <f t="shared" si="60"/>
        <v>308.784941</v>
      </c>
      <c r="AG29" s="55">
        <f t="shared" si="61"/>
        <v>0.00892149874882175</v>
      </c>
      <c r="AH29" s="66"/>
    </row>
    <row r="30" s="10" customFormat="1" ht="35" customHeight="1" spans="1:34">
      <c r="A30" s="52" t="s">
        <v>15</v>
      </c>
      <c r="B30" s="70">
        <f>VLOOKUP($A30,'[1]直收代收-26应收减免 (调整)'!$O$27:$Y$42,3,0)</f>
        <v>1999.258376</v>
      </c>
      <c r="C30" s="70">
        <f>VLOOKUP($A30,'[1]直收代收-26应收减免 (调整)'!$O$27:$Y$42,4,0)</f>
        <v>920.05044</v>
      </c>
      <c r="D30" s="54">
        <f t="shared" si="42"/>
        <v>0.460195866149519</v>
      </c>
      <c r="E30" s="70">
        <f>VLOOKUP($A30,'[1]直收代收-25应收减免（调整）'!$O$27:$Y$42,3,0)</f>
        <v>1972.742782</v>
      </c>
      <c r="F30" s="70">
        <f>VLOOKUP($A30,'[1]直收代收-25应收减免（调整）'!$O$27:$Y$42,4,0)</f>
        <v>853.77089</v>
      </c>
      <c r="G30" s="54">
        <f t="shared" si="43"/>
        <v>0.432783684619255</v>
      </c>
      <c r="H30" s="71">
        <f t="shared" si="44"/>
        <v>66.27955</v>
      </c>
      <c r="I30" s="54">
        <f t="shared" si="45"/>
        <v>0.0274121815302635</v>
      </c>
      <c r="J30" s="70">
        <f>VLOOKUP($A30,'[1]直收代收-26应收减免 (调整)'!$O$27:$Y$42,6,0)</f>
        <v>604.100303</v>
      </c>
      <c r="K30" s="70">
        <f>VLOOKUP($A30,'[1]直收代收-26应收减免 (调整)'!$O$27:$Y$42,7,0)</f>
        <v>584.992622</v>
      </c>
      <c r="L30" s="54">
        <f t="shared" si="46"/>
        <v>0.968370019175441</v>
      </c>
      <c r="M30" s="70">
        <f>VLOOKUP($A30,'[1]直收代收-25应收减免（调整）'!$O$27:$Y$42,6,0)</f>
        <v>608.04232</v>
      </c>
      <c r="N30" s="70">
        <f>VLOOKUP($A30,'[1]直收代收-25应收减免（调整）'!$O$27:$Y$42,7,0)</f>
        <v>587.650734</v>
      </c>
      <c r="O30" s="54">
        <f t="shared" si="47"/>
        <v>0.966463541550858</v>
      </c>
      <c r="P30" s="71">
        <f t="shared" si="48"/>
        <v>-2.65811200000007</v>
      </c>
      <c r="Q30" s="54">
        <f t="shared" si="49"/>
        <v>0.0019064776245834</v>
      </c>
      <c r="R30" s="70">
        <f>VLOOKUP($A30,'[1]直收代收-26应收减免 (调整)'!$O$27:$Y$42,9,0)</f>
        <v>193.127595</v>
      </c>
      <c r="S30" s="70">
        <f>VLOOKUP($A30,'[1]直收代收-26应收减免 (调整)'!$O$27:$Y$42,10,0)</f>
        <v>160.70092</v>
      </c>
      <c r="T30" s="54">
        <f t="shared" si="50"/>
        <v>0.832097142824152</v>
      </c>
      <c r="U30" s="70">
        <f>VLOOKUP($A30,'[1]直收代收-25应收减免（调整）'!$O$27:$Y$42,9,0)</f>
        <v>203.438881</v>
      </c>
      <c r="V30" s="70">
        <f>VLOOKUP($A30,'[1]直收代收-25应收减免（调整）'!$O$27:$Y$42,10,0)</f>
        <v>174.023918</v>
      </c>
      <c r="W30" s="54">
        <f t="shared" si="51"/>
        <v>0.855411301638058</v>
      </c>
      <c r="X30" s="56">
        <f t="shared" si="52"/>
        <v>-13.322998</v>
      </c>
      <c r="Y30" s="55">
        <f t="shared" si="53"/>
        <v>-0.0233141588139061</v>
      </c>
      <c r="Z30" s="53">
        <f t="shared" si="54"/>
        <v>2796.486274</v>
      </c>
      <c r="AA30" s="53">
        <f t="shared" si="55"/>
        <v>1665.743982</v>
      </c>
      <c r="AB30" s="54">
        <f t="shared" si="56"/>
        <v>0.5956560550599</v>
      </c>
      <c r="AC30" s="53">
        <f t="shared" si="57"/>
        <v>2784.223983</v>
      </c>
      <c r="AD30" s="53">
        <f t="shared" si="58"/>
        <v>1615.445542</v>
      </c>
      <c r="AE30" s="54">
        <f t="shared" si="59"/>
        <v>0.580213931014041</v>
      </c>
      <c r="AF30" s="56">
        <f t="shared" si="60"/>
        <v>50.2984399999998</v>
      </c>
      <c r="AG30" s="55">
        <f t="shared" si="61"/>
        <v>0.0154421240458595</v>
      </c>
      <c r="AH30" s="57"/>
    </row>
    <row r="31" s="10" customFormat="1" ht="35" customHeight="1" spans="1:34">
      <c r="A31" s="52" t="s">
        <v>16</v>
      </c>
      <c r="B31" s="70">
        <f>VLOOKUP($A31,'[1]直收代收-26应收减免 (调整)'!$O$27:$Y$42,3,0)</f>
        <v>95.023644</v>
      </c>
      <c r="C31" s="70">
        <f>VLOOKUP($A31,'[1]直收代收-26应收减免 (调整)'!$O$27:$Y$42,4,0)</f>
        <v>53.575039</v>
      </c>
      <c r="D31" s="54">
        <f t="shared" si="42"/>
        <v>0.56380745617375</v>
      </c>
      <c r="E31" s="70">
        <f>VLOOKUP($A31,'[1]直收代收-25应收减免（调整）'!$O$27:$Y$42,3,0)</f>
        <v>387.752471</v>
      </c>
      <c r="F31" s="70">
        <f>VLOOKUP($A31,'[1]直收代收-25应收减免（调整）'!$O$27:$Y$42,4,0)</f>
        <v>210.704546</v>
      </c>
      <c r="G31" s="54">
        <f t="shared" si="43"/>
        <v>0.543399621559085</v>
      </c>
      <c r="H31" s="56">
        <f t="shared" si="44"/>
        <v>-157.129507</v>
      </c>
      <c r="I31" s="55">
        <f t="shared" si="45"/>
        <v>0.0204078346146651</v>
      </c>
      <c r="J31" s="76">
        <f>VLOOKUP($A31,'[1]直收代收-26应收减免 (调整)'!$O$27:$Y$42,6,0)</f>
        <v>0.05448</v>
      </c>
      <c r="K31" s="76">
        <f>VLOOKUP($A31,'[1]直收代收-26应收减免 (调整)'!$O$27:$Y$42,7,0)</f>
        <v>0.05448</v>
      </c>
      <c r="L31" s="54">
        <f t="shared" si="46"/>
        <v>1</v>
      </c>
      <c r="M31" s="70">
        <f>VLOOKUP($A31,'[1]直收代收-25应收减免（调整）'!$O$27:$Y$42,6,0)</f>
        <v>1.78356</v>
      </c>
      <c r="N31" s="70">
        <f>VLOOKUP($A31,'[1]直收代收-25应收减免（调整）'!$O$27:$Y$42,7,0)</f>
        <v>1.532574</v>
      </c>
      <c r="O31" s="54">
        <f t="shared" si="47"/>
        <v>0.859278073067348</v>
      </c>
      <c r="P31" s="56">
        <f t="shared" si="48"/>
        <v>-1.478094</v>
      </c>
      <c r="Q31" s="55">
        <f t="shared" si="49"/>
        <v>0.140721926932652</v>
      </c>
      <c r="R31" s="70">
        <f>VLOOKUP($A31,'[1]直收代收-26应收减免 (调整)'!$O$27:$Y$42,9,0)</f>
        <v>0</v>
      </c>
      <c r="S31" s="70">
        <f>VLOOKUP($A31,'[1]直收代收-26应收减免 (调整)'!$O$27:$Y$42,10,0)</f>
        <v>0</v>
      </c>
      <c r="T31" s="54" t="str">
        <f t="shared" si="50"/>
        <v>——</v>
      </c>
      <c r="U31" s="70">
        <f>VLOOKUP($A31,'[1]直收代收-25应收减免（调整）'!$O$27:$Y$42,9,0)</f>
        <v>0.7875</v>
      </c>
      <c r="V31" s="70">
        <f>VLOOKUP($A31,'[1]直收代收-25应收减免（调整）'!$O$27:$Y$42,10,0)</f>
        <v>0.1375</v>
      </c>
      <c r="W31" s="54">
        <f t="shared" si="51"/>
        <v>0.174603174603175</v>
      </c>
      <c r="X31" s="56">
        <f t="shared" si="52"/>
        <v>-0.1375</v>
      </c>
      <c r="Y31" s="55" t="s">
        <v>64</v>
      </c>
      <c r="Z31" s="53">
        <f t="shared" si="54"/>
        <v>95.078124</v>
      </c>
      <c r="AA31" s="53">
        <f t="shared" si="55"/>
        <v>53.629519</v>
      </c>
      <c r="AB31" s="54">
        <f t="shared" si="56"/>
        <v>0.56405739557924</v>
      </c>
      <c r="AC31" s="53">
        <f t="shared" si="57"/>
        <v>390.323531</v>
      </c>
      <c r="AD31" s="53">
        <f t="shared" si="58"/>
        <v>212.37462</v>
      </c>
      <c r="AE31" s="54">
        <f t="shared" si="59"/>
        <v>0.544098941347197</v>
      </c>
      <c r="AF31" s="56">
        <f t="shared" si="60"/>
        <v>-158.745101</v>
      </c>
      <c r="AG31" s="55">
        <f t="shared" si="61"/>
        <v>0.0199584542320422</v>
      </c>
      <c r="AH31" s="57"/>
    </row>
    <row r="32" s="67" customFormat="1" ht="35" customHeight="1" spans="1:34">
      <c r="A32" s="52" t="s">
        <v>17</v>
      </c>
      <c r="B32" s="70">
        <f>VLOOKUP($A32,'[1]直收代收-26应收减免 (调整)'!$O$27:$Y$42,3,0)</f>
        <v>1996.144259</v>
      </c>
      <c r="C32" s="70">
        <f>VLOOKUP($A32,'[1]直收代收-26应收减免 (调整)'!$O$27:$Y$42,4,0)</f>
        <v>871.653704</v>
      </c>
      <c r="D32" s="54">
        <f t="shared" si="42"/>
        <v>0.436668692690912</v>
      </c>
      <c r="E32" s="70">
        <f>VLOOKUP($A32,'[1]直收代收-25应收减免（调整）'!$O$27:$Y$42,3,0)</f>
        <v>1566.750321</v>
      </c>
      <c r="F32" s="70">
        <f>VLOOKUP($A32,'[1]直收代收-25应收减免（调整）'!$O$27:$Y$42,4,0)</f>
        <v>779.271283</v>
      </c>
      <c r="G32" s="54">
        <f t="shared" si="43"/>
        <v>0.497380643587562</v>
      </c>
      <c r="H32" s="71">
        <f t="shared" si="44"/>
        <v>92.382421</v>
      </c>
      <c r="I32" s="72">
        <f t="shared" si="45"/>
        <v>-0.06071195089665</v>
      </c>
      <c r="J32" s="70">
        <f>VLOOKUP($A32,'[1]直收代收-26应收减免 (调整)'!$O$27:$Y$42,6,0)</f>
        <v>429.895659</v>
      </c>
      <c r="K32" s="70">
        <f>VLOOKUP($A32,'[1]直收代收-26应收减免 (调整)'!$O$27:$Y$42,7,0)</f>
        <v>386.674953</v>
      </c>
      <c r="L32" s="54">
        <f t="shared" si="46"/>
        <v>0.899462334417292</v>
      </c>
      <c r="M32" s="70">
        <f>VLOOKUP($A32,'[1]直收代收-25应收减免（调整）'!$O$27:$Y$42,6,0)</f>
        <v>402.981427</v>
      </c>
      <c r="N32" s="70">
        <f>VLOOKUP($A32,'[1]直收代收-25应收减免（调整）'!$O$27:$Y$42,7,0)</f>
        <v>367.882298</v>
      </c>
      <c r="O32" s="54">
        <f t="shared" si="47"/>
        <v>0.912901372995535</v>
      </c>
      <c r="P32" s="71">
        <f t="shared" si="48"/>
        <v>18.792655</v>
      </c>
      <c r="Q32" s="54">
        <f t="shared" si="49"/>
        <v>-0.0134390385782434</v>
      </c>
      <c r="R32" s="70">
        <f>VLOOKUP($A32,'[1]直收代收-26应收减免 (调整)'!$O$27:$Y$42,9,0)</f>
        <v>163.934472</v>
      </c>
      <c r="S32" s="70">
        <f>VLOOKUP($A32,'[1]直收代收-26应收减免 (调整)'!$O$27:$Y$42,10,0)</f>
        <v>160.546029</v>
      </c>
      <c r="T32" s="54">
        <f t="shared" si="50"/>
        <v>0.979330503470923</v>
      </c>
      <c r="U32" s="70">
        <f>VLOOKUP($A32,'[1]直收代收-25应收减免（调整）'!$O$27:$Y$42,9,0)</f>
        <v>226.646635</v>
      </c>
      <c r="V32" s="70">
        <f>VLOOKUP($A32,'[1]直收代收-25应收减免（调整）'!$O$27:$Y$42,10,0)</f>
        <v>225.469309</v>
      </c>
      <c r="W32" s="54">
        <f t="shared" si="51"/>
        <v>0.994805455638024</v>
      </c>
      <c r="X32" s="56">
        <f t="shared" si="52"/>
        <v>-64.92328</v>
      </c>
      <c r="Y32" s="58">
        <f t="shared" si="53"/>
        <v>-0.0154749521671009</v>
      </c>
      <c r="Z32" s="53">
        <f t="shared" si="54"/>
        <v>2589.97439</v>
      </c>
      <c r="AA32" s="53">
        <f t="shared" si="55"/>
        <v>1418.874686</v>
      </c>
      <c r="AB32" s="54">
        <f t="shared" si="56"/>
        <v>0.547833481087047</v>
      </c>
      <c r="AC32" s="53">
        <f t="shared" si="57"/>
        <v>2196.378383</v>
      </c>
      <c r="AD32" s="53">
        <f t="shared" si="58"/>
        <v>1372.62289</v>
      </c>
      <c r="AE32" s="54">
        <f t="shared" si="59"/>
        <v>0.624948278777519</v>
      </c>
      <c r="AF32" s="56">
        <f t="shared" si="60"/>
        <v>46.251796</v>
      </c>
      <c r="AG32" s="55">
        <f t="shared" si="61"/>
        <v>-0.0771147976904722</v>
      </c>
      <c r="AH32" s="66" t="s">
        <v>65</v>
      </c>
    </row>
    <row r="33" s="67" customFormat="1" ht="35" customHeight="1" spans="1:34">
      <c r="A33" s="52" t="s">
        <v>19</v>
      </c>
      <c r="B33" s="70">
        <f>VLOOKUP($A33,'[1]直收代收-26应收减免 (调整)'!$O$27:$Y$42,3,0)</f>
        <v>945.112839</v>
      </c>
      <c r="C33" s="70">
        <f>VLOOKUP($A33,'[1]直收代收-26应收减免 (调整)'!$O$27:$Y$42,4,0)</f>
        <v>427.057861</v>
      </c>
      <c r="D33" s="54">
        <f t="shared" si="42"/>
        <v>0.45185912557474</v>
      </c>
      <c r="E33" s="70">
        <f>VLOOKUP($A33,'[1]直收代收-25应收减免（调整）'!$O$27:$Y$42,3,0)</f>
        <v>587.932576</v>
      </c>
      <c r="F33" s="70">
        <f>VLOOKUP($A33,'[1]直收代收-25应收减免（调整）'!$O$27:$Y$42,4,0)</f>
        <v>169.4299</v>
      </c>
      <c r="G33" s="54">
        <f t="shared" si="43"/>
        <v>0.288179132975955</v>
      </c>
      <c r="H33" s="56">
        <f t="shared" si="44"/>
        <v>257.627961</v>
      </c>
      <c r="I33" s="55">
        <f t="shared" si="45"/>
        <v>0.163679992598785</v>
      </c>
      <c r="J33" s="70">
        <f>VLOOKUP($A33,'[1]直收代收-26应收减免 (调整)'!$O$27:$Y$42,6,0)</f>
        <v>75.891009</v>
      </c>
      <c r="K33" s="70">
        <f>VLOOKUP($A33,'[1]直收代收-26应收减免 (调整)'!$O$27:$Y$42,7,0)</f>
        <v>38.654907</v>
      </c>
      <c r="L33" s="54">
        <f t="shared" si="46"/>
        <v>0.509347648810414</v>
      </c>
      <c r="M33" s="70">
        <f>VLOOKUP($A33,'[1]直收代收-25应收减免（调整）'!$O$27:$Y$42,6,0)</f>
        <v>80.055814</v>
      </c>
      <c r="N33" s="70">
        <f>VLOOKUP($A33,'[1]直收代收-25应收减免（调整）'!$O$27:$Y$42,7,0)</f>
        <v>70.415457</v>
      </c>
      <c r="O33" s="54">
        <f t="shared" si="47"/>
        <v>0.879579551836173</v>
      </c>
      <c r="P33" s="56">
        <f t="shared" si="48"/>
        <v>-31.76055</v>
      </c>
      <c r="Q33" s="58">
        <f t="shared" si="49"/>
        <v>-0.370231903025758</v>
      </c>
      <c r="R33" s="70">
        <f>VLOOKUP($A33,'[1]直收代收-26应收减免 (调整)'!$O$27:$Y$42,9,0)</f>
        <v>13.968861</v>
      </c>
      <c r="S33" s="70">
        <f>VLOOKUP($A33,'[1]直收代收-26应收减免 (调整)'!$O$27:$Y$42,10,0)</f>
        <v>10.459077</v>
      </c>
      <c r="T33" s="54">
        <f t="shared" si="50"/>
        <v>0.748742291873332</v>
      </c>
      <c r="U33" s="70">
        <f>VLOOKUP($A33,'[1]直收代收-25应收减免（调整）'!$O$27:$Y$42,9,0)</f>
        <v>35.415225</v>
      </c>
      <c r="V33" s="70">
        <f>VLOOKUP($A33,'[1]直收代收-25应收减免（调整）'!$O$27:$Y$42,10,0)</f>
        <v>10.87223</v>
      </c>
      <c r="W33" s="54">
        <f t="shared" si="51"/>
        <v>0.306993108190051</v>
      </c>
      <c r="X33" s="56">
        <f t="shared" si="52"/>
        <v>-0.413152999999999</v>
      </c>
      <c r="Y33" s="55">
        <f t="shared" si="53"/>
        <v>0.441749183683281</v>
      </c>
      <c r="Z33" s="53">
        <f t="shared" si="54"/>
        <v>1034.972709</v>
      </c>
      <c r="AA33" s="53">
        <f t="shared" si="55"/>
        <v>476.171845</v>
      </c>
      <c r="AB33" s="54">
        <f t="shared" si="56"/>
        <v>0.46008154694251</v>
      </c>
      <c r="AC33" s="53">
        <f t="shared" si="57"/>
        <v>703.403615</v>
      </c>
      <c r="AD33" s="53">
        <f t="shared" si="58"/>
        <v>250.717587</v>
      </c>
      <c r="AE33" s="54">
        <f t="shared" si="59"/>
        <v>0.356434885538653</v>
      </c>
      <c r="AF33" s="56">
        <f t="shared" si="60"/>
        <v>225.454258</v>
      </c>
      <c r="AG33" s="55">
        <f t="shared" si="61"/>
        <v>0.103646661403856</v>
      </c>
      <c r="AH33" s="66" t="s">
        <v>66</v>
      </c>
    </row>
    <row r="34" s="10" customFormat="1" ht="35" customHeight="1" spans="1:34">
      <c r="A34" s="52" t="s">
        <v>20</v>
      </c>
      <c r="B34" s="70">
        <f>VLOOKUP($A34,'[1]直收代收-26应收减免 (调整)'!$O$27:$Y$42,3,0)</f>
        <v>2771.732578</v>
      </c>
      <c r="C34" s="70">
        <f>VLOOKUP($A34,'[1]直收代收-26应收减免 (调整)'!$O$27:$Y$42,4,0)</f>
        <v>1127.17371</v>
      </c>
      <c r="D34" s="54">
        <f t="shared" si="42"/>
        <v>0.406667554780243</v>
      </c>
      <c r="E34" s="70">
        <f>VLOOKUP($A34,'[1]直收代收-25应收减免（调整）'!$O$27:$Y$42,3,0)</f>
        <v>3560.43027</v>
      </c>
      <c r="F34" s="70">
        <f>VLOOKUP($A34,'[1]直收代收-25应收减免（调整）'!$O$27:$Y$42,4,0)</f>
        <v>1979.062085</v>
      </c>
      <c r="G34" s="54">
        <f t="shared" si="43"/>
        <v>0.555849134773253</v>
      </c>
      <c r="H34" s="71">
        <f t="shared" si="44"/>
        <v>-851.888375</v>
      </c>
      <c r="I34" s="54">
        <f t="shared" si="45"/>
        <v>-0.14918157999301</v>
      </c>
      <c r="J34" s="70">
        <f>VLOOKUP($A34,'[1]直收代收-26应收减免 (调整)'!$O$27:$Y$42,6,0)</f>
        <v>81.625947</v>
      </c>
      <c r="K34" s="70">
        <f>VLOOKUP($A34,'[1]直收代收-26应收减免 (调整)'!$O$27:$Y$42,7,0)</f>
        <v>73.864971</v>
      </c>
      <c r="L34" s="54">
        <f t="shared" si="46"/>
        <v>0.904920233268473</v>
      </c>
      <c r="M34" s="70">
        <f>VLOOKUP($A34,'[1]直收代收-25应收减免（调整）'!$O$27:$Y$42,6,0)</f>
        <v>83.949653</v>
      </c>
      <c r="N34" s="70">
        <f>VLOOKUP($A34,'[1]直收代收-25应收减免（调整）'!$O$27:$Y$42,7,0)</f>
        <v>75.856228</v>
      </c>
      <c r="O34" s="54">
        <f t="shared" si="47"/>
        <v>0.903591918360878</v>
      </c>
      <c r="P34" s="71">
        <f t="shared" si="48"/>
        <v>-1.991257</v>
      </c>
      <c r="Q34" s="54">
        <f t="shared" si="49"/>
        <v>0.00132831490759522</v>
      </c>
      <c r="R34" s="70">
        <f>VLOOKUP($A34,'[1]直收代收-26应收减免 (调整)'!$O$27:$Y$42,9,0)</f>
        <v>146.229119</v>
      </c>
      <c r="S34" s="70">
        <f>VLOOKUP($A34,'[1]直收代收-26应收减免 (调整)'!$O$27:$Y$42,10,0)</f>
        <v>128.770489</v>
      </c>
      <c r="T34" s="54">
        <f t="shared" si="50"/>
        <v>0.880607705774388</v>
      </c>
      <c r="U34" s="70">
        <f>VLOOKUP($A34,'[1]直收代收-25应收减免（调整）'!$O$27:$Y$42,9,0)</f>
        <v>270.174191</v>
      </c>
      <c r="V34" s="70">
        <f>VLOOKUP($A34,'[1]直收代收-25应收减免（调整）'!$O$27:$Y$42,10,0)</f>
        <v>218.871304</v>
      </c>
      <c r="W34" s="54">
        <f t="shared" si="51"/>
        <v>0.810111814122171</v>
      </c>
      <c r="X34" s="56">
        <f t="shared" si="52"/>
        <v>-90.100815</v>
      </c>
      <c r="Y34" s="55">
        <f t="shared" si="53"/>
        <v>0.0704958916522169</v>
      </c>
      <c r="Z34" s="53">
        <f t="shared" si="54"/>
        <v>2999.587644</v>
      </c>
      <c r="AA34" s="53">
        <f t="shared" si="55"/>
        <v>1329.80917</v>
      </c>
      <c r="AB34" s="54">
        <f t="shared" si="56"/>
        <v>0.443330660019214</v>
      </c>
      <c r="AC34" s="53">
        <f t="shared" si="57"/>
        <v>3914.554114</v>
      </c>
      <c r="AD34" s="53">
        <f t="shared" si="58"/>
        <v>2273.789617</v>
      </c>
      <c r="AE34" s="54">
        <f t="shared" si="59"/>
        <v>0.580855328801823</v>
      </c>
      <c r="AF34" s="56">
        <f t="shared" si="60"/>
        <v>-943.980447</v>
      </c>
      <c r="AG34" s="55">
        <f t="shared" si="61"/>
        <v>-0.137524668782609</v>
      </c>
      <c r="AH34" s="57"/>
    </row>
    <row r="35" s="10" customFormat="1" ht="35" customHeight="1" spans="1:34">
      <c r="A35" s="60" t="s">
        <v>23</v>
      </c>
      <c r="B35" s="61">
        <f>SUM(B28:B34)</f>
        <v>12733.11815</v>
      </c>
      <c r="C35" s="61">
        <f>SUM(C28:C34)</f>
        <v>6364.965214</v>
      </c>
      <c r="D35" s="62">
        <f>C35/B35</f>
        <v>0.499874825554807</v>
      </c>
      <c r="E35" s="61">
        <f>SUM(E28:E34)</f>
        <v>11888.040891</v>
      </c>
      <c r="F35" s="61">
        <f>SUM(F28:F34)</f>
        <v>6140.835074</v>
      </c>
      <c r="G35" s="62">
        <f>F35/E35</f>
        <v>0.516555682328532</v>
      </c>
      <c r="H35" s="63">
        <f>SUM(H28:H34)</f>
        <v>224.13014</v>
      </c>
      <c r="I35" s="62">
        <f t="shared" si="45"/>
        <v>-0.0166808567737252</v>
      </c>
      <c r="J35" s="61">
        <f>SUM(J28:J34)</f>
        <v>1449.524851</v>
      </c>
      <c r="K35" s="61">
        <f>SUM(K28:K34)</f>
        <v>1275.17097</v>
      </c>
      <c r="L35" s="62">
        <f>K35/J35</f>
        <v>0.87971652857161</v>
      </c>
      <c r="M35" s="61">
        <f>SUM(M28:M34)</f>
        <v>1454.368359</v>
      </c>
      <c r="N35" s="61">
        <f>SUM(N28:N34)</f>
        <v>1361.104675</v>
      </c>
      <c r="O35" s="62">
        <f>N35/M35</f>
        <v>0.935873409633219</v>
      </c>
      <c r="P35" s="63">
        <f>SUM(P28:P34)</f>
        <v>-85.933705</v>
      </c>
      <c r="Q35" s="62">
        <f>L35-O35</f>
        <v>-0.0561568810616094</v>
      </c>
      <c r="R35" s="61">
        <f>SUM(R28:R34)</f>
        <v>722.279699</v>
      </c>
      <c r="S35" s="61">
        <f>SUM(S28:S34)</f>
        <v>657.471135</v>
      </c>
      <c r="T35" s="62">
        <f>S35/R35</f>
        <v>0.910272206058501</v>
      </c>
      <c r="U35" s="61">
        <f>SUM(U28:U34)</f>
        <v>937.170073</v>
      </c>
      <c r="V35" s="61">
        <f>SUM(V28:V34)</f>
        <v>819.024944</v>
      </c>
      <c r="W35" s="62">
        <f>V35/U35</f>
        <v>0.873934163708619</v>
      </c>
      <c r="X35" s="63">
        <f>SUM(X28:X34)</f>
        <v>-161.553809</v>
      </c>
      <c r="Y35" s="62">
        <f>T35-W35</f>
        <v>0.0363380423498825</v>
      </c>
      <c r="Z35" s="61">
        <f>SUM(Z28:Z34)</f>
        <v>14904.9227</v>
      </c>
      <c r="AA35" s="61">
        <f>SUM(AA28:AA34)</f>
        <v>8297.607319</v>
      </c>
      <c r="AB35" s="62">
        <f>AA35/Z35</f>
        <v>0.556702472465691</v>
      </c>
      <c r="AC35" s="61">
        <f>SUM(AC28:AC34)</f>
        <v>14279.579323</v>
      </c>
      <c r="AD35" s="61">
        <f>SUM(AD28:AD34)</f>
        <v>8320.964693</v>
      </c>
      <c r="AE35" s="62">
        <f>AD35/AC35</f>
        <v>0.58271777513764</v>
      </c>
      <c r="AF35" s="63">
        <f>SUM(AF28:AF34)</f>
        <v>-23.3573740000003</v>
      </c>
      <c r="AG35" s="62">
        <f>AB35-AE35</f>
        <v>-0.0260153026719486</v>
      </c>
      <c r="AH35" s="57"/>
    </row>
    <row r="36" s="10" customFormat="1" ht="35" customHeight="1" spans="1:34">
      <c r="A36" s="52" t="s">
        <v>26</v>
      </c>
      <c r="B36" s="70">
        <f>VLOOKUP($A36,'[1]直收代收-26应收减免 (调整)'!$O$27:$Y$42,3,0)</f>
        <v>411.853153</v>
      </c>
      <c r="C36" s="70">
        <f>VLOOKUP($A36,'[1]直收代收-26应收减免 (调整)'!$O$27:$Y$42,4,0)</f>
        <v>261.273167</v>
      </c>
      <c r="D36" s="54">
        <f t="shared" ref="D36:D41" si="62">IF(B36&gt;0,C36/B36,"——")</f>
        <v>0.634384282594044</v>
      </c>
      <c r="E36" s="70">
        <f>VLOOKUP($A36,'[1]直收代收-25应收减免（调整）'!$O$27:$Y$42,3,0)</f>
        <v>552.672336</v>
      </c>
      <c r="F36" s="70">
        <f>VLOOKUP($A36,'[1]直收代收-25应收减免（调整）'!$O$27:$Y$42,4,0)</f>
        <v>231.692644</v>
      </c>
      <c r="G36" s="54">
        <f t="shared" ref="G36:G41" si="63">IF(E36&gt;0,F36/E36,"——")</f>
        <v>0.419222437795403</v>
      </c>
      <c r="H36" s="56">
        <f t="shared" ref="H36:H41" si="64">C36-F36</f>
        <v>29.580523</v>
      </c>
      <c r="I36" s="55">
        <f t="shared" si="45"/>
        <v>0.215161844798641</v>
      </c>
      <c r="J36" s="70">
        <f>VLOOKUP($A36,'[1]直收代收-26应收减免 (调整)'!$O$27:$Y$42,6,0)</f>
        <v>61.185107</v>
      </c>
      <c r="K36" s="70">
        <f>VLOOKUP($A36,'[1]直收代收-26应收减免 (调整)'!$O$27:$Y$42,7,0)</f>
        <v>40.833833</v>
      </c>
      <c r="L36" s="54">
        <f t="shared" ref="L36:L41" si="65">IF(J36&gt;0,K36/J36,"——")</f>
        <v>0.667381900631472</v>
      </c>
      <c r="M36" s="70">
        <f>VLOOKUP($A36,'[1]直收代收-25应收减免（调整）'!$O$27:$Y$42,6,0)</f>
        <v>58.651604</v>
      </c>
      <c r="N36" s="70">
        <f>VLOOKUP($A36,'[1]直收代收-25应收减免（调整）'!$O$27:$Y$42,7,0)</f>
        <v>24.953455</v>
      </c>
      <c r="O36" s="54">
        <f t="shared" ref="O36:O41" si="66">IF(M36&gt;0,N36/M36,"——")</f>
        <v>0.425452217811469</v>
      </c>
      <c r="P36" s="56">
        <f t="shared" ref="P36:P41" si="67">K36-N36</f>
        <v>15.880378</v>
      </c>
      <c r="Q36" s="55">
        <f t="shared" ref="Q36:Q41" si="68">(K36/J36)-(N36/M36)</f>
        <v>0.241929682820004</v>
      </c>
      <c r="R36" s="70">
        <f>VLOOKUP($A36,'[1]直收代收-26应收减免 (调整)'!$O$27:$Y$42,9,0)</f>
        <v>21.023885</v>
      </c>
      <c r="S36" s="70">
        <f>VLOOKUP($A36,'[1]直收代收-26应收减免 (调整)'!$O$27:$Y$42,10,0)</f>
        <v>18.604878</v>
      </c>
      <c r="T36" s="54">
        <f t="shared" ref="T36:T41" si="69">IF(R36&gt;0,S36/R36,"——")</f>
        <v>0.884940057463214</v>
      </c>
      <c r="U36" s="70">
        <f>VLOOKUP($A36,'[1]直收代收-25应收减免（调整）'!$O$27:$Y$42,9,0)</f>
        <v>48.20849</v>
      </c>
      <c r="V36" s="70">
        <f>VLOOKUP($A36,'[1]直收代收-25应收减免（调整）'!$O$27:$Y$42,10,0)</f>
        <v>44.136676</v>
      </c>
      <c r="W36" s="54">
        <f t="shared" ref="W36:W41" si="70">IF(U36&gt;0,V36/U36,"——")</f>
        <v>0.915537408452329</v>
      </c>
      <c r="X36" s="56">
        <f t="shared" ref="X36:X41" si="71">S36-V36</f>
        <v>-25.531798</v>
      </c>
      <c r="Y36" s="58">
        <f t="shared" ref="Y36:Y41" si="72">(S36/R36)-(V36/U36)</f>
        <v>-0.0305973509891149</v>
      </c>
      <c r="Z36" s="53">
        <f t="shared" ref="Z36:Z41" si="73">B36+J36+R36</f>
        <v>494.062145</v>
      </c>
      <c r="AA36" s="53">
        <f t="shared" ref="AA36:AA41" si="74">C36+K36+S36</f>
        <v>320.711878</v>
      </c>
      <c r="AB36" s="54">
        <f t="shared" ref="AB36:AB41" si="75">IF(Z36&gt;0,AA36/Z36,"——")</f>
        <v>0.649132667308482</v>
      </c>
      <c r="AC36" s="53">
        <f t="shared" ref="AC36:AC41" si="76">E36+M36+U36</f>
        <v>659.53243</v>
      </c>
      <c r="AD36" s="53">
        <f t="shared" ref="AD36:AD41" si="77">F36+N36+V36</f>
        <v>300.782775</v>
      </c>
      <c r="AE36" s="54">
        <f t="shared" ref="AE36:AE41" si="78">IF(AC36&gt;0,AD36/AC36,"——")</f>
        <v>0.456054564291858</v>
      </c>
      <c r="AF36" s="56">
        <f t="shared" ref="AF36:AF41" si="79">AA36-AD36</f>
        <v>19.9291029999999</v>
      </c>
      <c r="AG36" s="55">
        <f t="shared" ref="AG36:AG41" si="80">(AA36/Z36)-(AD36/AC36)</f>
        <v>0.193078103016624</v>
      </c>
      <c r="AH36" s="57" t="s">
        <v>67</v>
      </c>
    </row>
    <row r="37" s="10" customFormat="1" ht="35" customHeight="1" spans="1:34">
      <c r="A37" s="52" t="s">
        <v>27</v>
      </c>
      <c r="B37" s="70">
        <f>VLOOKUP($A37,'[1]直收代收-26应收减免 (调整)'!$O$27:$Y$42,3,0)</f>
        <v>519.33281</v>
      </c>
      <c r="C37" s="70">
        <f>VLOOKUP($A37,'[1]直收代收-26应收减免 (调整)'!$O$27:$Y$42,4,0)</f>
        <v>337.444698</v>
      </c>
      <c r="D37" s="54">
        <f t="shared" si="62"/>
        <v>0.649765798544482</v>
      </c>
      <c r="E37" s="70">
        <f>VLOOKUP($A37,'[1]直收代收-25应收减免（调整）'!$O$27:$Y$42,3,0)</f>
        <v>377.303266</v>
      </c>
      <c r="F37" s="70">
        <f>VLOOKUP($A37,'[1]直收代收-25应收减免（调整）'!$O$27:$Y$42,4,0)</f>
        <v>242.975395</v>
      </c>
      <c r="G37" s="54">
        <f t="shared" si="63"/>
        <v>0.643979039926996</v>
      </c>
      <c r="H37" s="56">
        <f t="shared" si="64"/>
        <v>94.469303</v>
      </c>
      <c r="I37" s="55">
        <f t="shared" si="45"/>
        <v>0.00578675861748645</v>
      </c>
      <c r="J37" s="70">
        <f>VLOOKUP($A37,'[1]直收代收-26应收减免 (调整)'!$O$27:$Y$42,6,0)</f>
        <v>43.844571</v>
      </c>
      <c r="K37" s="70">
        <f>VLOOKUP($A37,'[1]直收代收-26应收减免 (调整)'!$O$27:$Y$42,7,0)</f>
        <v>20.817237</v>
      </c>
      <c r="L37" s="54">
        <f t="shared" si="65"/>
        <v>0.474796229617573</v>
      </c>
      <c r="M37" s="70">
        <f>VLOOKUP($A37,'[1]直收代收-25应收减免（调整）'!$O$27:$Y$42,6,0)</f>
        <v>44.492845</v>
      </c>
      <c r="N37" s="70">
        <f>VLOOKUP($A37,'[1]直收代收-25应收减免（调整）'!$O$27:$Y$42,7,0)</f>
        <v>21.377673</v>
      </c>
      <c r="O37" s="54">
        <f t="shared" si="66"/>
        <v>0.480474399872609</v>
      </c>
      <c r="P37" s="56">
        <f t="shared" si="67"/>
        <v>-0.560436000000003</v>
      </c>
      <c r="Q37" s="55">
        <f t="shared" si="68"/>
        <v>-0.00567817025503542</v>
      </c>
      <c r="R37" s="70">
        <f>VLOOKUP($A37,'[1]直收代收-26应收减免 (调整)'!$O$27:$Y$42,9,0)</f>
        <v>60.504818</v>
      </c>
      <c r="S37" s="70">
        <f>VLOOKUP($A37,'[1]直收代收-26应收减免 (调整)'!$O$27:$Y$42,10,0)</f>
        <v>45.158306</v>
      </c>
      <c r="T37" s="54">
        <f t="shared" si="69"/>
        <v>0.746358843687457</v>
      </c>
      <c r="U37" s="70">
        <f>VLOOKUP($A37,'[1]直收代收-25应收减免（调整）'!$O$27:$Y$42,9,0)</f>
        <v>44.392041</v>
      </c>
      <c r="V37" s="70">
        <f>VLOOKUP($A37,'[1]直收代收-25应收减免（调整）'!$O$27:$Y$42,10,0)</f>
        <v>30.662268</v>
      </c>
      <c r="W37" s="54">
        <f t="shared" si="70"/>
        <v>0.690715437030706</v>
      </c>
      <c r="X37" s="56">
        <f t="shared" si="71"/>
        <v>14.496038</v>
      </c>
      <c r="Y37" s="55">
        <f t="shared" si="72"/>
        <v>0.0556434066567509</v>
      </c>
      <c r="Z37" s="53">
        <f t="shared" si="73"/>
        <v>623.682199</v>
      </c>
      <c r="AA37" s="53">
        <f t="shared" si="74"/>
        <v>403.420241</v>
      </c>
      <c r="AB37" s="54">
        <f t="shared" si="75"/>
        <v>0.646836227884708</v>
      </c>
      <c r="AC37" s="53">
        <f t="shared" si="76"/>
        <v>466.188152</v>
      </c>
      <c r="AD37" s="53">
        <f t="shared" si="77"/>
        <v>295.015336</v>
      </c>
      <c r="AE37" s="54">
        <f t="shared" si="78"/>
        <v>0.632824611123965</v>
      </c>
      <c r="AF37" s="56">
        <f t="shared" si="79"/>
        <v>108.404905</v>
      </c>
      <c r="AG37" s="55">
        <f t="shared" si="80"/>
        <v>0.0140116167607429</v>
      </c>
      <c r="AH37" s="57"/>
    </row>
    <row r="38" s="10" customFormat="1" ht="35" customHeight="1" spans="1:34">
      <c r="A38" s="52" t="s">
        <v>25</v>
      </c>
      <c r="B38" s="70">
        <f>VLOOKUP($A38,'[1]直收代收-26应收减免 (调整)'!$O$27:$Y$42,3,0)</f>
        <v>576.079882</v>
      </c>
      <c r="C38" s="70">
        <f>VLOOKUP($A38,'[1]直收代收-26应收减免 (调整)'!$O$27:$Y$42,4,0)</f>
        <v>353.007559</v>
      </c>
      <c r="D38" s="54">
        <f t="shared" si="62"/>
        <v>0.612775363330601</v>
      </c>
      <c r="E38" s="70">
        <f>VLOOKUP($A38,'[1]直收代收-25应收减免（调整）'!$O$27:$Y$42,3,0)</f>
        <v>413.223936</v>
      </c>
      <c r="F38" s="70">
        <f>VLOOKUP($A38,'[1]直收代收-25应收减免（调整）'!$O$27:$Y$42,4,0)</f>
        <v>338.296175</v>
      </c>
      <c r="G38" s="54">
        <f t="shared" si="63"/>
        <v>0.818675167452062</v>
      </c>
      <c r="H38" s="56">
        <f t="shared" si="64"/>
        <v>14.711384</v>
      </c>
      <c r="I38" s="58">
        <f t="shared" si="45"/>
        <v>-0.20589980412146</v>
      </c>
      <c r="J38" s="70">
        <f>VLOOKUP($A38,'[1]直收代收-26应收减免 (调整)'!$O$27:$Y$42,6,0)</f>
        <v>0</v>
      </c>
      <c r="K38" s="70">
        <f>VLOOKUP($A38,'[1]直收代收-26应收减免 (调整)'!$O$27:$Y$42,7,0)</f>
        <v>0</v>
      </c>
      <c r="L38" s="54" t="str">
        <f t="shared" si="65"/>
        <v>——</v>
      </c>
      <c r="M38" s="70">
        <f>VLOOKUP($A38,'[1]直收代收-25应收减免（调整）'!$O$27:$Y$42,6,0)</f>
        <v>2.127678</v>
      </c>
      <c r="N38" s="70">
        <f>VLOOKUP($A38,'[1]直收代收-25应收减免（调整）'!$O$27:$Y$42,7,0)</f>
        <v>2.127678</v>
      </c>
      <c r="O38" s="54">
        <f t="shared" si="66"/>
        <v>1</v>
      </c>
      <c r="P38" s="56">
        <f t="shared" si="67"/>
        <v>-2.127678</v>
      </c>
      <c r="Q38" s="55" t="s">
        <v>64</v>
      </c>
      <c r="R38" s="70">
        <f>VLOOKUP($A38,'[1]直收代收-26应收减免 (调整)'!$O$27:$Y$42,9,0)</f>
        <v>22.016481</v>
      </c>
      <c r="S38" s="70">
        <f>VLOOKUP($A38,'[1]直收代收-26应收减免 (调整)'!$O$27:$Y$42,10,0)</f>
        <v>22.016481</v>
      </c>
      <c r="T38" s="54">
        <f t="shared" si="69"/>
        <v>1</v>
      </c>
      <c r="U38" s="70">
        <f>VLOOKUP($A38,'[1]直收代收-25应收减免（调整）'!$O$27:$Y$42,9,0)</f>
        <v>17.787704</v>
      </c>
      <c r="V38" s="70">
        <f>VLOOKUP($A38,'[1]直收代收-25应收减免（调整）'!$O$27:$Y$42,10,0)</f>
        <v>17.787704</v>
      </c>
      <c r="W38" s="54">
        <f t="shared" si="70"/>
        <v>1</v>
      </c>
      <c r="X38" s="56">
        <f t="shared" si="71"/>
        <v>4.228777</v>
      </c>
      <c r="Y38" s="55">
        <f t="shared" si="72"/>
        <v>0</v>
      </c>
      <c r="Z38" s="53">
        <f t="shared" si="73"/>
        <v>598.096363</v>
      </c>
      <c r="AA38" s="53">
        <f t="shared" si="74"/>
        <v>375.02404</v>
      </c>
      <c r="AB38" s="54">
        <f t="shared" si="75"/>
        <v>0.62702946080279</v>
      </c>
      <c r="AC38" s="53">
        <f t="shared" si="76"/>
        <v>433.139318</v>
      </c>
      <c r="AD38" s="53">
        <f t="shared" si="77"/>
        <v>358.211557</v>
      </c>
      <c r="AE38" s="54">
        <f t="shared" si="78"/>
        <v>0.827012330937825</v>
      </c>
      <c r="AF38" s="56">
        <f t="shared" si="79"/>
        <v>16.812483</v>
      </c>
      <c r="AG38" s="58">
        <f t="shared" si="80"/>
        <v>-0.199982870135035</v>
      </c>
      <c r="AH38" s="57" t="s">
        <v>68</v>
      </c>
    </row>
    <row r="39" s="10" customFormat="1" ht="35" customHeight="1" spans="1:34">
      <c r="A39" s="52" t="s">
        <v>24</v>
      </c>
      <c r="B39" s="70">
        <f>VLOOKUP($A39,'[1]直收代收-26应收减免 (调整)'!$O$27:$Y$42,3,0)</f>
        <v>812.510525</v>
      </c>
      <c r="C39" s="70">
        <f>VLOOKUP($A39,'[1]直收代收-26应收减免 (调整)'!$O$27:$Y$42,4,0)</f>
        <v>448.317067</v>
      </c>
      <c r="D39" s="54">
        <f t="shared" si="62"/>
        <v>0.551767704178355</v>
      </c>
      <c r="E39" s="70">
        <f>VLOOKUP($A39,'[1]直收代收-25应收减免（调整）'!$O$27:$Y$42,3,0)</f>
        <v>697.84032</v>
      </c>
      <c r="F39" s="70">
        <f>VLOOKUP($A39,'[1]直收代收-25应收减免（调整）'!$O$27:$Y$42,4,0)</f>
        <v>400.764833</v>
      </c>
      <c r="G39" s="54">
        <f t="shared" si="63"/>
        <v>0.574293031678078</v>
      </c>
      <c r="H39" s="56">
        <f t="shared" si="64"/>
        <v>47.552234</v>
      </c>
      <c r="I39" s="58">
        <f t="shared" si="45"/>
        <v>-0.0225253274997228</v>
      </c>
      <c r="J39" s="70">
        <f>VLOOKUP($A39,'[1]直收代收-26应收减免 (调整)'!$O$27:$Y$42,6,0)</f>
        <v>99.667296</v>
      </c>
      <c r="K39" s="70">
        <f>VLOOKUP($A39,'[1]直收代收-26应收减免 (调整)'!$O$27:$Y$42,7,0)</f>
        <v>65.845482</v>
      </c>
      <c r="L39" s="54">
        <f t="shared" si="65"/>
        <v>0.660652838419535</v>
      </c>
      <c r="M39" s="70">
        <f>VLOOKUP($A39,'[1]直收代收-25应收减免（调整）'!$O$27:$Y$42,6,0)</f>
        <v>101.54209</v>
      </c>
      <c r="N39" s="70">
        <f>VLOOKUP($A39,'[1]直收代收-25应收减免（调整）'!$O$27:$Y$42,7,0)</f>
        <v>55.287499</v>
      </c>
      <c r="O39" s="54">
        <f t="shared" si="66"/>
        <v>0.544478639350441</v>
      </c>
      <c r="P39" s="56">
        <f t="shared" si="67"/>
        <v>10.557983</v>
      </c>
      <c r="Q39" s="55">
        <f t="shared" si="68"/>
        <v>0.116174199069095</v>
      </c>
      <c r="R39" s="70">
        <f>VLOOKUP($A39,'[1]直收代收-26应收减免 (调整)'!$O$27:$Y$42,9,0)</f>
        <v>102.680345</v>
      </c>
      <c r="S39" s="70">
        <f>VLOOKUP($A39,'[1]直收代收-26应收减免 (调整)'!$O$27:$Y$42,10,0)</f>
        <v>89.649156</v>
      </c>
      <c r="T39" s="54">
        <f t="shared" si="69"/>
        <v>0.873089742735087</v>
      </c>
      <c r="U39" s="70">
        <f>VLOOKUP($A39,'[1]直收代收-25应收减免（调整）'!$O$27:$Y$42,9,0)</f>
        <v>116.070062</v>
      </c>
      <c r="V39" s="70">
        <f>VLOOKUP($A39,'[1]直收代收-25应收减免（调整）'!$O$27:$Y$42,10,0)</f>
        <v>97.305184</v>
      </c>
      <c r="W39" s="54">
        <f t="shared" si="70"/>
        <v>0.838331455358402</v>
      </c>
      <c r="X39" s="56">
        <f t="shared" si="71"/>
        <v>-7.65602799999999</v>
      </c>
      <c r="Y39" s="55">
        <f t="shared" si="72"/>
        <v>0.0347582873766847</v>
      </c>
      <c r="Z39" s="53">
        <f t="shared" si="73"/>
        <v>1014.858166</v>
      </c>
      <c r="AA39" s="53">
        <f t="shared" si="74"/>
        <v>603.811705</v>
      </c>
      <c r="AB39" s="54">
        <f t="shared" si="75"/>
        <v>0.59497151939949</v>
      </c>
      <c r="AC39" s="53">
        <f t="shared" si="76"/>
        <v>915.452472</v>
      </c>
      <c r="AD39" s="53">
        <f t="shared" si="77"/>
        <v>553.357516</v>
      </c>
      <c r="AE39" s="54">
        <f t="shared" si="78"/>
        <v>0.604463402443027</v>
      </c>
      <c r="AF39" s="56">
        <f t="shared" si="79"/>
        <v>50.454189</v>
      </c>
      <c r="AG39" s="55">
        <f t="shared" si="80"/>
        <v>-0.00949188304353688</v>
      </c>
      <c r="AH39" s="57" t="s">
        <v>69</v>
      </c>
    </row>
    <row r="40" s="10" customFormat="1" ht="35" customHeight="1" spans="1:34">
      <c r="A40" s="52" t="s">
        <v>30</v>
      </c>
      <c r="B40" s="70">
        <f>VLOOKUP($A40,'[1]直收代收-26应收减免 (调整)'!$O$27:$Y$42,3,0)</f>
        <v>1518.980664</v>
      </c>
      <c r="C40" s="70">
        <f>VLOOKUP($A40,'[1]直收代收-26应收减免 (调整)'!$O$27:$Y$42,4,0)</f>
        <v>881.466372</v>
      </c>
      <c r="D40" s="54">
        <f t="shared" si="62"/>
        <v>0.580301246020338</v>
      </c>
      <c r="E40" s="70">
        <f>VLOOKUP($A40,'[1]直收代收-25应收减免（调整）'!$O$27:$Y$42,3,0)</f>
        <v>1895.649445</v>
      </c>
      <c r="F40" s="70">
        <f>VLOOKUP($A40,'[1]直收代收-25应收减免（调整）'!$O$27:$Y$42,4,0)</f>
        <v>1063.094796</v>
      </c>
      <c r="G40" s="54">
        <f t="shared" si="63"/>
        <v>0.560807695116857</v>
      </c>
      <c r="H40" s="56">
        <f t="shared" si="64"/>
        <v>-181.628424</v>
      </c>
      <c r="I40" s="55">
        <f t="shared" si="45"/>
        <v>0.0194935509034803</v>
      </c>
      <c r="J40" s="70">
        <f>VLOOKUP($A40,'[1]直收代收-26应收减免 (调整)'!$O$27:$Y$42,6,0)</f>
        <v>40.73807</v>
      </c>
      <c r="K40" s="70">
        <f>VLOOKUP($A40,'[1]直收代收-26应收减免 (调整)'!$O$27:$Y$42,7,0)</f>
        <v>37.698485</v>
      </c>
      <c r="L40" s="54">
        <f t="shared" si="65"/>
        <v>0.925387113331584</v>
      </c>
      <c r="M40" s="70">
        <f>VLOOKUP($A40,'[1]直收代收-25应收减免（调整）'!$O$27:$Y$42,6,0)</f>
        <v>100.345807</v>
      </c>
      <c r="N40" s="70">
        <f>VLOOKUP($A40,'[1]直收代收-25应收减免（调整）'!$O$27:$Y$42,7,0)</f>
        <v>88.483731</v>
      </c>
      <c r="O40" s="54">
        <f t="shared" si="66"/>
        <v>0.881788025283408</v>
      </c>
      <c r="P40" s="56">
        <f t="shared" si="67"/>
        <v>-50.785246</v>
      </c>
      <c r="Q40" s="55">
        <f t="shared" si="68"/>
        <v>0.0435990880481756</v>
      </c>
      <c r="R40" s="70">
        <f>VLOOKUP($A40,'[1]直收代收-26应收减免 (调整)'!$O$27:$Y$42,9,0)</f>
        <v>142.936362</v>
      </c>
      <c r="S40" s="70">
        <f>VLOOKUP($A40,'[1]直收代收-26应收减免 (调整)'!$O$27:$Y$42,10,0)</f>
        <v>79.093672</v>
      </c>
      <c r="T40" s="54">
        <f t="shared" si="69"/>
        <v>0.553348853247014</v>
      </c>
      <c r="U40" s="70">
        <f>VLOOKUP($A40,'[1]直收代收-25应收减免（调整）'!$O$27:$Y$42,9,0)</f>
        <v>178.777856</v>
      </c>
      <c r="V40" s="70">
        <f>VLOOKUP($A40,'[1]直收代收-25应收减免（调整）'!$O$27:$Y$42,10,0)</f>
        <v>98.647218</v>
      </c>
      <c r="W40" s="54">
        <f t="shared" si="70"/>
        <v>0.55178655906915</v>
      </c>
      <c r="X40" s="56">
        <f t="shared" si="71"/>
        <v>-19.553546</v>
      </c>
      <c r="Y40" s="55">
        <f t="shared" si="72"/>
        <v>0.00156229417786358</v>
      </c>
      <c r="Z40" s="53">
        <f t="shared" si="73"/>
        <v>1702.655096</v>
      </c>
      <c r="AA40" s="53">
        <f t="shared" si="74"/>
        <v>998.258529</v>
      </c>
      <c r="AB40" s="54">
        <f t="shared" si="75"/>
        <v>0.58629521113535</v>
      </c>
      <c r="AC40" s="53">
        <f t="shared" si="76"/>
        <v>2174.773108</v>
      </c>
      <c r="AD40" s="53">
        <f t="shared" si="77"/>
        <v>1250.225745</v>
      </c>
      <c r="AE40" s="54">
        <f t="shared" si="78"/>
        <v>0.574876404532036</v>
      </c>
      <c r="AF40" s="56">
        <f t="shared" si="79"/>
        <v>-251.967216</v>
      </c>
      <c r="AG40" s="55">
        <f t="shared" si="80"/>
        <v>0.0114188066033146</v>
      </c>
      <c r="AH40" s="57"/>
    </row>
    <row r="41" s="10" customFormat="1" ht="35" customHeight="1" spans="1:34">
      <c r="A41" s="52" t="s">
        <v>29</v>
      </c>
      <c r="B41" s="70">
        <f>VLOOKUP($A41,'[1]直收代收-26应收减免 (调整)'!$O$27:$Y$42,3,0)</f>
        <v>751.039229</v>
      </c>
      <c r="C41" s="70">
        <f>VLOOKUP($A41,'[1]直收代收-26应收减免 (调整)'!$O$27:$Y$42,4,0)</f>
        <v>316.191573</v>
      </c>
      <c r="D41" s="54">
        <f t="shared" si="62"/>
        <v>0.421005402635233</v>
      </c>
      <c r="E41" s="70">
        <f>VLOOKUP($A41,'[1]直收代收-25应收减免（调整）'!$O$27:$Y$42,3,0)</f>
        <v>667.549355</v>
      </c>
      <c r="F41" s="70">
        <f>VLOOKUP($A41,'[1]直收代收-25应收减免（调整）'!$O$27:$Y$42,4,0)</f>
        <v>213.258532</v>
      </c>
      <c r="G41" s="54">
        <f t="shared" si="63"/>
        <v>0.319464816200744</v>
      </c>
      <c r="H41" s="56">
        <f t="shared" si="64"/>
        <v>102.933041</v>
      </c>
      <c r="I41" s="55">
        <f t="shared" si="45"/>
        <v>0.101540586434489</v>
      </c>
      <c r="J41" s="70">
        <f>VLOOKUP($A41,'[1]直收代收-26应收减免 (调整)'!$O$27:$Y$42,6,0)</f>
        <v>70.744707</v>
      </c>
      <c r="K41" s="70">
        <f>VLOOKUP($A41,'[1]直收代收-26应收减免 (调整)'!$O$27:$Y$42,7,0)</f>
        <v>31.506665</v>
      </c>
      <c r="L41" s="54">
        <f t="shared" si="65"/>
        <v>0.445357205310074</v>
      </c>
      <c r="M41" s="70">
        <f>VLOOKUP($A41,'[1]直收代收-25应收减免（调整）'!$O$27:$Y$42,6,0)</f>
        <v>72.093232</v>
      </c>
      <c r="N41" s="70">
        <f>VLOOKUP($A41,'[1]直收代收-25应收减免（调整）'!$O$27:$Y$42,7,0)</f>
        <v>32.553179</v>
      </c>
      <c r="O41" s="54">
        <f t="shared" si="66"/>
        <v>0.451542788371591</v>
      </c>
      <c r="P41" s="56">
        <f t="shared" si="67"/>
        <v>-1.046514</v>
      </c>
      <c r="Q41" s="55">
        <f t="shared" si="68"/>
        <v>-0.00618558306151729</v>
      </c>
      <c r="R41" s="70">
        <f>VLOOKUP($A41,'[1]直收代收-26应收减免 (调整)'!$O$27:$Y$42,9,0)</f>
        <v>99.015391</v>
      </c>
      <c r="S41" s="70">
        <f>VLOOKUP($A41,'[1]直收代收-26应收减免 (调整)'!$O$27:$Y$42,10,0)</f>
        <v>46.941224</v>
      </c>
      <c r="T41" s="54">
        <f t="shared" si="69"/>
        <v>0.474080075086509</v>
      </c>
      <c r="U41" s="70">
        <f>VLOOKUP($A41,'[1]直收代收-25应收减免（调整）'!$O$27:$Y$42,9,0)</f>
        <v>95.488321</v>
      </c>
      <c r="V41" s="70">
        <f>VLOOKUP($A41,'[1]直收代收-25应收减免（调整）'!$O$27:$Y$42,10,0)</f>
        <v>40.304197</v>
      </c>
      <c r="W41" s="54">
        <f t="shared" si="70"/>
        <v>0.422085094574027</v>
      </c>
      <c r="X41" s="56">
        <f t="shared" si="71"/>
        <v>6.637027</v>
      </c>
      <c r="Y41" s="55">
        <f t="shared" si="72"/>
        <v>0.0519949805124821</v>
      </c>
      <c r="Z41" s="53">
        <f t="shared" si="73"/>
        <v>920.799327</v>
      </c>
      <c r="AA41" s="53">
        <f t="shared" si="74"/>
        <v>394.639462</v>
      </c>
      <c r="AB41" s="54">
        <f t="shared" si="75"/>
        <v>0.428583569110276</v>
      </c>
      <c r="AC41" s="53">
        <f t="shared" si="76"/>
        <v>835.130908</v>
      </c>
      <c r="AD41" s="53">
        <f t="shared" si="77"/>
        <v>286.115908</v>
      </c>
      <c r="AE41" s="54">
        <f t="shared" si="78"/>
        <v>0.342600070550855</v>
      </c>
      <c r="AF41" s="56">
        <f t="shared" si="79"/>
        <v>108.523554</v>
      </c>
      <c r="AG41" s="55">
        <f t="shared" si="80"/>
        <v>0.0859834985594203</v>
      </c>
      <c r="AH41" s="57"/>
    </row>
    <row r="42" s="10" customFormat="1" ht="35" customHeight="1" spans="1:34">
      <c r="A42" s="60" t="s">
        <v>23</v>
      </c>
      <c r="B42" s="61">
        <f>SUM(B36:B41)</f>
        <v>4589.796263</v>
      </c>
      <c r="C42" s="61">
        <f>SUM(C36:C41)</f>
        <v>2597.700436</v>
      </c>
      <c r="D42" s="62">
        <f>C42/B42</f>
        <v>0.565972929330436</v>
      </c>
      <c r="E42" s="61">
        <f>SUM(E36:E41)</f>
        <v>4604.238658</v>
      </c>
      <c r="F42" s="61">
        <f>SUM(F36:F41)</f>
        <v>2490.082375</v>
      </c>
      <c r="G42" s="62">
        <f>F42/E42</f>
        <v>0.540823914649474</v>
      </c>
      <c r="H42" s="61">
        <f>SUM(H36:H41)</f>
        <v>107.618061</v>
      </c>
      <c r="I42" s="62">
        <f t="shared" si="45"/>
        <v>0.0251490146809626</v>
      </c>
      <c r="J42" s="61">
        <f>SUM(J36:J41)</f>
        <v>316.179751</v>
      </c>
      <c r="K42" s="61">
        <f>SUM(K36:K41)</f>
        <v>196.701702</v>
      </c>
      <c r="L42" s="62">
        <f>K42/J42</f>
        <v>0.622119858649645</v>
      </c>
      <c r="M42" s="61">
        <f>SUM(M36:M41)</f>
        <v>379.253256</v>
      </c>
      <c r="N42" s="61">
        <f>SUM(N36:N41)</f>
        <v>224.783215</v>
      </c>
      <c r="O42" s="62">
        <f>N42/M42</f>
        <v>0.592699499460593</v>
      </c>
      <c r="P42" s="61">
        <f>SUM(P36:P41)</f>
        <v>-28.081513</v>
      </c>
      <c r="Q42" s="62">
        <f>L42-O42</f>
        <v>0.0294203591890525</v>
      </c>
      <c r="R42" s="61">
        <f>SUM(R36:R41)</f>
        <v>448.177282</v>
      </c>
      <c r="S42" s="61">
        <f>SUM(S36:S41)</f>
        <v>301.463717</v>
      </c>
      <c r="T42" s="62">
        <f>S42/R42</f>
        <v>0.672643904784089</v>
      </c>
      <c r="U42" s="61">
        <f>SUM(U36:U41)</f>
        <v>500.724474</v>
      </c>
      <c r="V42" s="61">
        <f>SUM(V36:V41)</f>
        <v>328.843247</v>
      </c>
      <c r="W42" s="62">
        <f>V42/U42</f>
        <v>0.656734919252219</v>
      </c>
      <c r="X42" s="61">
        <f>SUM(X36:X41)</f>
        <v>-27.37953</v>
      </c>
      <c r="Y42" s="62">
        <f>T42-W42</f>
        <v>0.01590898553187</v>
      </c>
      <c r="Z42" s="61">
        <f>SUM(Z36:Z41)</f>
        <v>5354.153296</v>
      </c>
      <c r="AA42" s="61">
        <f>SUM(AA36:AA41)</f>
        <v>3095.865855</v>
      </c>
      <c r="AB42" s="62">
        <f>AA42/Z42</f>
        <v>0.578217634768297</v>
      </c>
      <c r="AC42" s="61">
        <f>SUM(AC36:AC41)</f>
        <v>5484.216388</v>
      </c>
      <c r="AD42" s="61">
        <f>SUM(AD36:AD41)</f>
        <v>3043.708837</v>
      </c>
      <c r="AE42" s="62">
        <f>AD42/AC42</f>
        <v>0.554994300308779</v>
      </c>
      <c r="AF42" s="61">
        <f>SUM(AF36:AF41)</f>
        <v>52.1570179999997</v>
      </c>
      <c r="AG42" s="62">
        <f>AB42-AE42</f>
        <v>0.0232233344595176</v>
      </c>
      <c r="AH42" s="57"/>
    </row>
    <row r="43" s="10" customFormat="1" ht="35" customHeight="1" spans="1:34">
      <c r="A43" s="60" t="s">
        <v>32</v>
      </c>
      <c r="B43" s="61">
        <f>B42+B35</f>
        <v>17322.914413</v>
      </c>
      <c r="C43" s="61">
        <f>C42+C35</f>
        <v>8962.66565</v>
      </c>
      <c r="D43" s="62">
        <f>C43/B43</f>
        <v>0.517387861898917</v>
      </c>
      <c r="E43" s="61">
        <f>E42+E35</f>
        <v>16492.279549</v>
      </c>
      <c r="F43" s="61">
        <f>F42+F35</f>
        <v>8630.917449</v>
      </c>
      <c r="G43" s="62">
        <f>F43/E43</f>
        <v>0.523330775673356</v>
      </c>
      <c r="H43" s="61">
        <f>H42+H35</f>
        <v>331.748201</v>
      </c>
      <c r="I43" s="62">
        <f t="shared" si="45"/>
        <v>-0.00594291377443945</v>
      </c>
      <c r="J43" s="61">
        <f>J42+J35</f>
        <v>1765.704602</v>
      </c>
      <c r="K43" s="61">
        <f>K42+K35</f>
        <v>1471.872672</v>
      </c>
      <c r="L43" s="62">
        <f>K43/J43</f>
        <v>0.833589418259895</v>
      </c>
      <c r="M43" s="61">
        <f>M42+M35</f>
        <v>1833.621615</v>
      </c>
      <c r="N43" s="61">
        <f>N42+N35</f>
        <v>1585.88789</v>
      </c>
      <c r="O43" s="62">
        <f>N43/M43</f>
        <v>0.864893758355919</v>
      </c>
      <c r="P43" s="61">
        <f>P42+P35</f>
        <v>-114.015218</v>
      </c>
      <c r="Q43" s="62">
        <f>L43-O43</f>
        <v>-0.0313043400960237</v>
      </c>
      <c r="R43" s="61">
        <f>R42+R35</f>
        <v>1170.456981</v>
      </c>
      <c r="S43" s="61">
        <f>S42+S35</f>
        <v>958.934852</v>
      </c>
      <c r="T43" s="62">
        <f>S43/R43</f>
        <v>0.819282440590613</v>
      </c>
      <c r="U43" s="61">
        <f>U42+U35</f>
        <v>1437.894547</v>
      </c>
      <c r="V43" s="61">
        <f>V42+V35</f>
        <v>1147.868191</v>
      </c>
      <c r="W43" s="62">
        <f>V43/U43</f>
        <v>0.79829789562447</v>
      </c>
      <c r="X43" s="61">
        <f>X42+X35</f>
        <v>-188.933339</v>
      </c>
      <c r="Y43" s="62">
        <f>T43-W43</f>
        <v>0.0209845449661428</v>
      </c>
      <c r="Z43" s="61">
        <f>Z42+Z35</f>
        <v>20259.075996</v>
      </c>
      <c r="AA43" s="61">
        <f>AA42+AA35</f>
        <v>11393.473174</v>
      </c>
      <c r="AB43" s="62">
        <f>AA43/Z43</f>
        <v>0.562388589501789</v>
      </c>
      <c r="AC43" s="61">
        <f>AC42+AC35</f>
        <v>19763.795711</v>
      </c>
      <c r="AD43" s="61">
        <f>AD42+AD35</f>
        <v>11364.67353</v>
      </c>
      <c r="AE43" s="62">
        <f>AD43/AC43</f>
        <v>0.575024843212416</v>
      </c>
      <c r="AF43" s="61">
        <f>AF42+AF35</f>
        <v>28.7996439999994</v>
      </c>
      <c r="AG43" s="62">
        <f>AB43-AE43</f>
        <v>-0.0126362537106269</v>
      </c>
      <c r="AH43" s="57"/>
    </row>
  </sheetData>
  <autoFilter xmlns:etc="http://www.wps.cn/officeDocument/2017/etCustomData" ref="A27:AH43" etc:filterBottomFollowUsedRange="0">
    <extLst/>
  </autoFilter>
  <sortState ref="A29:AH34">
    <sortCondition ref="AB29:AB34" descending="1"/>
  </sortState>
  <mergeCells count="40">
    <mergeCell ref="A1:AH1"/>
    <mergeCell ref="A2:AG2"/>
    <mergeCell ref="B3:I3"/>
    <mergeCell ref="J3:Q3"/>
    <mergeCell ref="R3:Y3"/>
    <mergeCell ref="Z3:AG3"/>
    <mergeCell ref="B4:D4"/>
    <mergeCell ref="E4:G4"/>
    <mergeCell ref="H4:I4"/>
    <mergeCell ref="J4:L4"/>
    <mergeCell ref="M4:O4"/>
    <mergeCell ref="P4:Q4"/>
    <mergeCell ref="R4:T4"/>
    <mergeCell ref="U4:W4"/>
    <mergeCell ref="X4:Y4"/>
    <mergeCell ref="Z4:AB4"/>
    <mergeCell ref="AC4:AE4"/>
    <mergeCell ref="AF4:AG4"/>
    <mergeCell ref="A23:AH23"/>
    <mergeCell ref="A24:AG24"/>
    <mergeCell ref="B25:I25"/>
    <mergeCell ref="J25:Q25"/>
    <mergeCell ref="R25:Y25"/>
    <mergeCell ref="Z25:AG25"/>
    <mergeCell ref="B26:D26"/>
    <mergeCell ref="E26:G26"/>
    <mergeCell ref="H26:I26"/>
    <mergeCell ref="J26:L26"/>
    <mergeCell ref="M26:O26"/>
    <mergeCell ref="P26:Q26"/>
    <mergeCell ref="R26:T26"/>
    <mergeCell ref="U26:W26"/>
    <mergeCell ref="X26:Y26"/>
    <mergeCell ref="Z26:AB26"/>
    <mergeCell ref="AC26:AE26"/>
    <mergeCell ref="AF26:AG26"/>
    <mergeCell ref="A3:A5"/>
    <mergeCell ref="A25:A27"/>
    <mergeCell ref="AH3:AH5"/>
    <mergeCell ref="AH25:AH27"/>
  </mergeCells>
  <pageMargins left="0.314583333333333" right="0.314583333333333" top="0.629861111111111" bottom="0.590277777777778" header="0.5" footer="0.511805555555556"/>
  <pageSetup paperSize="9" scale="46" fitToHeight="0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43"/>
  <sheetViews>
    <sheetView zoomScale="70" zoomScaleNormal="70" workbookViewId="0">
      <selection activeCell="AN10" sqref="AN10"/>
    </sheetView>
  </sheetViews>
  <sheetFormatPr defaultColWidth="9.625" defaultRowHeight="28" customHeight="1"/>
  <cols>
    <col min="1" max="1" width="9.625" style="10" customWidth="1"/>
    <col min="2" max="4" width="8.625" style="10" customWidth="1"/>
    <col min="5" max="7" width="9.625" style="10" hidden="1" customWidth="1"/>
    <col min="8" max="12" width="8.625" style="10" customWidth="1"/>
    <col min="13" max="15" width="9.625" style="10" hidden="1" customWidth="1"/>
    <col min="16" max="20" width="8.625" style="10" customWidth="1"/>
    <col min="21" max="23" width="9.625" style="10" hidden="1" customWidth="1"/>
    <col min="24" max="28" width="8.625" style="10" customWidth="1"/>
    <col min="29" max="31" width="9.625" style="10" customWidth="1"/>
    <col min="32" max="33" width="8.625" style="10" customWidth="1"/>
    <col min="34" max="34" width="8.625" style="1" customWidth="1"/>
    <col min="35" max="35" width="8.03333333333333" style="1" customWidth="1"/>
    <col min="36" max="36" width="16.9583333333333" style="1" customWidth="1"/>
    <col min="37" max="16384" width="9.625" style="10" customWidth="1"/>
  </cols>
  <sheetData>
    <row r="1" customHeight="1" spans="1:36">
      <c r="A1" s="41" t="s">
        <v>70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</row>
    <row r="2" customHeight="1" spans="1:36">
      <c r="A2" s="34" t="s">
        <v>71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</row>
    <row r="3" ht="30" customHeight="1" spans="1:36">
      <c r="A3" s="42" t="s">
        <v>1</v>
      </c>
      <c r="B3" s="14" t="s">
        <v>72</v>
      </c>
      <c r="C3" s="14"/>
      <c r="D3" s="14"/>
      <c r="E3" s="14"/>
      <c r="F3" s="14"/>
      <c r="G3" s="14"/>
      <c r="H3" s="14"/>
      <c r="I3" s="14"/>
      <c r="J3" s="14" t="s">
        <v>73</v>
      </c>
      <c r="K3" s="14"/>
      <c r="L3" s="14"/>
      <c r="M3" s="14"/>
      <c r="N3" s="14"/>
      <c r="O3" s="14"/>
      <c r="P3" s="14"/>
      <c r="Q3" s="14"/>
      <c r="R3" s="14" t="s">
        <v>74</v>
      </c>
      <c r="S3" s="14"/>
      <c r="T3" s="14"/>
      <c r="U3" s="14"/>
      <c r="V3" s="14"/>
      <c r="W3" s="14"/>
      <c r="X3" s="14"/>
      <c r="Y3" s="14"/>
      <c r="Z3" s="14" t="s">
        <v>32</v>
      </c>
      <c r="AA3" s="14"/>
      <c r="AB3" s="14"/>
      <c r="AC3" s="14"/>
      <c r="AD3" s="14"/>
      <c r="AE3" s="14"/>
      <c r="AF3" s="14"/>
      <c r="AG3" s="14"/>
      <c r="AH3" s="14"/>
      <c r="AI3" s="14"/>
      <c r="AJ3" s="43" t="s">
        <v>13</v>
      </c>
    </row>
    <row r="4" ht="30" customHeight="1" spans="1:36">
      <c r="A4" s="44"/>
      <c r="B4" s="22" t="s">
        <v>43</v>
      </c>
      <c r="C4" s="23"/>
      <c r="D4" s="24"/>
      <c r="E4" s="22" t="s">
        <v>44</v>
      </c>
      <c r="F4" s="23"/>
      <c r="G4" s="24"/>
      <c r="H4" s="15" t="s">
        <v>45</v>
      </c>
      <c r="I4" s="15"/>
      <c r="J4" s="22" t="s">
        <v>43</v>
      </c>
      <c r="K4" s="23"/>
      <c r="L4" s="24"/>
      <c r="M4" s="22" t="s">
        <v>44</v>
      </c>
      <c r="N4" s="23"/>
      <c r="O4" s="24"/>
      <c r="P4" s="15" t="s">
        <v>45</v>
      </c>
      <c r="Q4" s="15"/>
      <c r="R4" s="22" t="s">
        <v>43</v>
      </c>
      <c r="S4" s="23"/>
      <c r="T4" s="24"/>
      <c r="U4" s="22" t="s">
        <v>44</v>
      </c>
      <c r="V4" s="23"/>
      <c r="W4" s="24"/>
      <c r="X4" s="15" t="s">
        <v>45</v>
      </c>
      <c r="Y4" s="15"/>
      <c r="Z4" s="14" t="s">
        <v>43</v>
      </c>
      <c r="AA4" s="14"/>
      <c r="AB4" s="14"/>
      <c r="AC4" s="14" t="s">
        <v>44</v>
      </c>
      <c r="AD4" s="14"/>
      <c r="AE4" s="14"/>
      <c r="AF4" s="15" t="s">
        <v>45</v>
      </c>
      <c r="AG4" s="15"/>
      <c r="AH4" s="45" t="s">
        <v>75</v>
      </c>
      <c r="AI4" s="46" t="s">
        <v>76</v>
      </c>
      <c r="AJ4" s="47"/>
    </row>
    <row r="5" ht="30" customHeight="1" spans="1:36">
      <c r="A5" s="48"/>
      <c r="B5" s="14" t="s">
        <v>46</v>
      </c>
      <c r="C5" s="14" t="s">
        <v>47</v>
      </c>
      <c r="D5" s="14" t="s">
        <v>77</v>
      </c>
      <c r="E5" s="14" t="s">
        <v>46</v>
      </c>
      <c r="F5" s="14" t="s">
        <v>47</v>
      </c>
      <c r="G5" s="14" t="s">
        <v>77</v>
      </c>
      <c r="H5" s="15" t="s">
        <v>47</v>
      </c>
      <c r="I5" s="15" t="s">
        <v>77</v>
      </c>
      <c r="J5" s="14" t="s">
        <v>46</v>
      </c>
      <c r="K5" s="14" t="s">
        <v>47</v>
      </c>
      <c r="L5" s="14" t="s">
        <v>77</v>
      </c>
      <c r="M5" s="14" t="s">
        <v>46</v>
      </c>
      <c r="N5" s="14" t="s">
        <v>47</v>
      </c>
      <c r="O5" s="14" t="s">
        <v>77</v>
      </c>
      <c r="P5" s="15" t="s">
        <v>47</v>
      </c>
      <c r="Q5" s="15" t="s">
        <v>77</v>
      </c>
      <c r="R5" s="14" t="s">
        <v>46</v>
      </c>
      <c r="S5" s="14" t="s">
        <v>47</v>
      </c>
      <c r="T5" s="14" t="s">
        <v>77</v>
      </c>
      <c r="U5" s="14" t="s">
        <v>46</v>
      </c>
      <c r="V5" s="14" t="s">
        <v>47</v>
      </c>
      <c r="W5" s="14" t="s">
        <v>77</v>
      </c>
      <c r="X5" s="15" t="s">
        <v>47</v>
      </c>
      <c r="Y5" s="15" t="s">
        <v>77</v>
      </c>
      <c r="Z5" s="14" t="s">
        <v>46</v>
      </c>
      <c r="AA5" s="14" t="s">
        <v>47</v>
      </c>
      <c r="AB5" s="14" t="s">
        <v>77</v>
      </c>
      <c r="AC5" s="14" t="s">
        <v>46</v>
      </c>
      <c r="AD5" s="14" t="s">
        <v>47</v>
      </c>
      <c r="AE5" s="14" t="s">
        <v>77</v>
      </c>
      <c r="AF5" s="15" t="s">
        <v>47</v>
      </c>
      <c r="AG5" s="15" t="s">
        <v>77</v>
      </c>
      <c r="AH5" s="49"/>
      <c r="AI5" s="50"/>
      <c r="AJ5" s="51"/>
    </row>
    <row r="6" ht="37" customHeight="1" spans="1:36">
      <c r="A6" s="52" t="s">
        <v>20</v>
      </c>
      <c r="B6" s="53">
        <f>VLOOKUP($A6,[2]基础指标!$AB$2:$AL$17,3,0)</f>
        <v>1151.716804</v>
      </c>
      <c r="C6" s="53">
        <f>VLOOKUP($A6,[2]基础指标!$AB$2:$AL$17,4,0)</f>
        <v>396.007533</v>
      </c>
      <c r="D6" s="54">
        <f t="shared" ref="D6:D12" si="0">IF(B6&gt;0,C6/B6,"——")</f>
        <v>0.343841065463867</v>
      </c>
      <c r="E6" s="53">
        <f>VLOOKUP($A6,[3]基础指标!$Y$2:$AI$17,3,0)</f>
        <v>656.721117999999</v>
      </c>
      <c r="F6" s="53">
        <f>VLOOKUP($A6,[3]基础指标!$Y$2:$AI$17,4,0)</f>
        <v>201.180466</v>
      </c>
      <c r="G6" s="55">
        <f>F6/E6</f>
        <v>0.306340789851074</v>
      </c>
      <c r="H6" s="56">
        <f>C6-F6</f>
        <v>194.827067</v>
      </c>
      <c r="I6" s="55">
        <f>D6-G6</f>
        <v>0.0375002756127933</v>
      </c>
      <c r="J6" s="53">
        <f>VLOOKUP($A6,[2]基础指标!$AB$2:$AL$17,6,0)</f>
        <v>481.881718999999</v>
      </c>
      <c r="K6" s="53">
        <f>VLOOKUP($A6,[2]基础指标!$AB$2:$AL$17,7,0)</f>
        <v>27.260711</v>
      </c>
      <c r="L6" s="54">
        <f t="shared" ref="L6:L12" si="1">IF(J6&gt;0,K6/J6,"——")</f>
        <v>0.0565713741051879</v>
      </c>
      <c r="M6" s="53">
        <f>VLOOKUP($A6,[3]基础指标!$Y$2:$AI$17,6,0)</f>
        <v>445.542412</v>
      </c>
      <c r="N6" s="53">
        <f>VLOOKUP($A6,[3]基础指标!$Y$2:$AI$17,7,0)</f>
        <v>25.944458</v>
      </c>
      <c r="O6" s="55">
        <f>N6/M6</f>
        <v>0.0582311746339426</v>
      </c>
      <c r="P6" s="56">
        <f>K6-N6</f>
        <v>1.316253</v>
      </c>
      <c r="Q6" s="55">
        <f>(K6/J6)-(N6/M6)</f>
        <v>-0.00165980052875465</v>
      </c>
      <c r="R6" s="53">
        <f>VLOOKUP($A6,[2]基础指标!$AB$2:$AL$17,9,0)</f>
        <v>460.153466</v>
      </c>
      <c r="S6" s="53">
        <f>VLOOKUP($A6,[2]基础指标!$AB$2:$AL$17,10,0)</f>
        <v>19.940962</v>
      </c>
      <c r="T6" s="54">
        <f t="shared" ref="T6:T12" si="2">IF(R6&gt;0,S6/R6,"——")</f>
        <v>0.0433354597398599</v>
      </c>
      <c r="U6" s="53">
        <f>VLOOKUP($A6,[3]基础指标!$Y$2:$AI$17,9,0)</f>
        <v>746.46809</v>
      </c>
      <c r="V6" s="53">
        <f>VLOOKUP($A6,[3]基础指标!$Y$2:$AI$17,10,0)</f>
        <v>26.511342</v>
      </c>
      <c r="W6" s="55">
        <f>V6/U6</f>
        <v>0.0355157070411409</v>
      </c>
      <c r="X6" s="56">
        <f>S6-V6</f>
        <v>-6.57038</v>
      </c>
      <c r="Y6" s="55">
        <f>(S6/R6)-(V6/U6)</f>
        <v>0.007819752698719</v>
      </c>
      <c r="Z6" s="53">
        <f>B6+J6+R6</f>
        <v>2093.751989</v>
      </c>
      <c r="AA6" s="53">
        <f>C6+K6+S6</f>
        <v>443.209206</v>
      </c>
      <c r="AB6" s="54">
        <f t="shared" ref="AB6:AB12" si="3">IF(Z6&gt;0,AA6/Z6,"——")</f>
        <v>0.211681807744422</v>
      </c>
      <c r="AC6" s="53">
        <f>E6+M6+U6</f>
        <v>1848.73162</v>
      </c>
      <c r="AD6" s="53">
        <f>F6+N6+V6</f>
        <v>253.636266</v>
      </c>
      <c r="AE6" s="55">
        <f>AD6/AC6</f>
        <v>0.137194746525729</v>
      </c>
      <c r="AF6" s="56">
        <f>AA6-AD6</f>
        <v>189.57294</v>
      </c>
      <c r="AG6" s="55">
        <f>(AA6/Z6)-(AD6/AC6)</f>
        <v>0.0744870612186937</v>
      </c>
      <c r="AH6" s="53">
        <v>919.74720754</v>
      </c>
      <c r="AI6" s="38">
        <f>AA6/AH6</f>
        <v>0.481881545675391</v>
      </c>
      <c r="AJ6" s="57"/>
    </row>
    <row r="7" ht="37" customHeight="1" spans="1:36">
      <c r="A7" s="52" t="s">
        <v>16</v>
      </c>
      <c r="B7" s="53">
        <f>VLOOKUP($A7,[2]基础指标!$AB$2:$AL$17,3,0)</f>
        <v>1996.73</v>
      </c>
      <c r="C7" s="53">
        <f>VLOOKUP($A7,[2]基础指标!$AB$2:$AL$17,4,0)</f>
        <v>555.063957</v>
      </c>
      <c r="D7" s="54">
        <f t="shared" si="0"/>
        <v>0.277986486405273</v>
      </c>
      <c r="E7" s="53">
        <f>VLOOKUP($A7,[3]基础指标!$Y$2:$AI$17,3,0)</f>
        <v>1195.14</v>
      </c>
      <c r="F7" s="53">
        <f>VLOOKUP($A7,[3]基础指标!$Y$2:$AI$17,4,0)</f>
        <v>378.01</v>
      </c>
      <c r="G7" s="55">
        <f>F7/E7</f>
        <v>0.316289305018659</v>
      </c>
      <c r="H7" s="56">
        <f>C7-F7</f>
        <v>177.053957</v>
      </c>
      <c r="I7" s="58">
        <f>D7-G7</f>
        <v>-0.0383028186133864</v>
      </c>
      <c r="J7" s="53">
        <f>VLOOKUP($A7,[2]基础指标!$AB$2:$AL$17,6,0)</f>
        <v>573.53</v>
      </c>
      <c r="K7" s="53">
        <f>VLOOKUP($A7,[2]基础指标!$AB$2:$AL$17,7,0)</f>
        <v>86.76471</v>
      </c>
      <c r="L7" s="54">
        <f t="shared" si="1"/>
        <v>0.151281903300612</v>
      </c>
      <c r="M7" s="53">
        <f>VLOOKUP($A7,[3]基础指标!$Y$2:$AI$17,6,0)</f>
        <v>276.37</v>
      </c>
      <c r="N7" s="53">
        <f>VLOOKUP($A7,[3]基础指标!$Y$2:$AI$17,7,0)</f>
        <v>28.93</v>
      </c>
      <c r="O7" s="55">
        <f>N7/M7</f>
        <v>0.104678510692188</v>
      </c>
      <c r="P7" s="56">
        <f>K7-N7</f>
        <v>57.83471</v>
      </c>
      <c r="Q7" s="55">
        <f>(K7/J7)-(N7/M7)</f>
        <v>0.046603392608424</v>
      </c>
      <c r="R7" s="53">
        <f>VLOOKUP($A7,[2]基础指标!$AB$2:$AL$17,9,0)</f>
        <v>136.79</v>
      </c>
      <c r="S7" s="53">
        <f>VLOOKUP($A7,[2]基础指标!$AB$2:$AL$17,10,0)</f>
        <v>14.627938</v>
      </c>
      <c r="T7" s="54">
        <f t="shared" si="2"/>
        <v>0.106937188390964</v>
      </c>
      <c r="U7" s="53">
        <f>VLOOKUP($A7,[3]基础指标!$Y$2:$AI$17,9,0)</f>
        <v>100.26</v>
      </c>
      <c r="V7" s="53">
        <f>VLOOKUP($A7,[3]基础指标!$Y$2:$AI$17,10,0)</f>
        <v>7.01</v>
      </c>
      <c r="W7" s="55">
        <f>V7/U7</f>
        <v>0.0699182126471175</v>
      </c>
      <c r="X7" s="56">
        <f>S7-V7</f>
        <v>7.617938</v>
      </c>
      <c r="Y7" s="55">
        <f>(S7/R7)-(V7/U7)</f>
        <v>0.0370189757438468</v>
      </c>
      <c r="Z7" s="53">
        <f>B7+J7+R7</f>
        <v>2707.05</v>
      </c>
      <c r="AA7" s="53">
        <f>C7+K7+S7</f>
        <v>656.456605</v>
      </c>
      <c r="AB7" s="54">
        <f t="shared" si="3"/>
        <v>0.242498884394451</v>
      </c>
      <c r="AC7" s="53">
        <f>E7+M7+U7</f>
        <v>1571.77</v>
      </c>
      <c r="AD7" s="53">
        <f>F7+N7+V7</f>
        <v>413.95</v>
      </c>
      <c r="AE7" s="55">
        <f>AD7/AC7</f>
        <v>0.263365505131158</v>
      </c>
      <c r="AF7" s="56">
        <f>AA7-AD7</f>
        <v>242.506605</v>
      </c>
      <c r="AG7" s="58">
        <f>(AA7/Z7)-(AD7/AC7)</f>
        <v>-0.0208666207367063</v>
      </c>
      <c r="AH7" s="53">
        <v>1397.82785</v>
      </c>
      <c r="AI7" s="38">
        <f>AA7/AH7</f>
        <v>0.469626216847804</v>
      </c>
      <c r="AJ7" s="57" t="s">
        <v>78</v>
      </c>
    </row>
    <row r="8" ht="37" customHeight="1" spans="1:36">
      <c r="A8" s="52" t="s">
        <v>17</v>
      </c>
      <c r="B8" s="53">
        <f>VLOOKUP($A8,[2]基础指标!$AB$2:$AL$17,3,0)</f>
        <v>361.162901</v>
      </c>
      <c r="C8" s="53">
        <f>VLOOKUP($A8,[2]基础指标!$AB$2:$AL$17,4,0)</f>
        <v>140.582675</v>
      </c>
      <c r="D8" s="54">
        <f t="shared" si="0"/>
        <v>0.389250043708116</v>
      </c>
      <c r="E8" s="53">
        <f>VLOOKUP($A8,[3]基础指标!$Y$2:$AI$17,3,0)</f>
        <v>376.976488</v>
      </c>
      <c r="F8" s="53">
        <f>VLOOKUP($A8,[3]基础指标!$Y$2:$AI$17,4,0)</f>
        <v>161.95</v>
      </c>
      <c r="G8" s="55">
        <f>F8/E8</f>
        <v>0.429602389420106</v>
      </c>
      <c r="H8" s="56">
        <f>C8-F8</f>
        <v>-21.367325</v>
      </c>
      <c r="I8" s="58">
        <f>D8-G8</f>
        <v>-0.0403523457119899</v>
      </c>
      <c r="J8" s="53">
        <f>VLOOKUP($A8,[2]基础指标!$AB$2:$AL$17,6,0)</f>
        <v>91.840457</v>
      </c>
      <c r="K8" s="53">
        <f>VLOOKUP($A8,[2]基础指标!$AB$2:$AL$17,7,0)</f>
        <v>19.368216</v>
      </c>
      <c r="L8" s="54">
        <f t="shared" si="1"/>
        <v>0.210889804261318</v>
      </c>
      <c r="M8" s="53">
        <f>VLOOKUP($A8,[3]基础指标!$Y$2:$AI$17,6,0)</f>
        <v>77.557081</v>
      </c>
      <c r="N8" s="53">
        <f>VLOOKUP($A8,[3]基础指标!$Y$2:$AI$17,7,0)</f>
        <v>11.52</v>
      </c>
      <c r="O8" s="55">
        <f>N8/M8</f>
        <v>0.148535760390466</v>
      </c>
      <c r="P8" s="56">
        <f>K8-N8</f>
        <v>7.848216</v>
      </c>
      <c r="Q8" s="55">
        <f>(K8/J8)-(N8/M8)</f>
        <v>0.0623540438708516</v>
      </c>
      <c r="R8" s="53">
        <f>VLOOKUP($A8,[2]基础指标!$AB$2:$AL$17,9,0)</f>
        <v>61.226711</v>
      </c>
      <c r="S8" s="53">
        <f>VLOOKUP($A8,[2]基础指标!$AB$2:$AL$17,10,0)</f>
        <v>5.599532</v>
      </c>
      <c r="T8" s="54">
        <f t="shared" si="2"/>
        <v>0.091455704684186</v>
      </c>
      <c r="U8" s="53">
        <f>VLOOKUP($A8,[3]基础指标!$Y$2:$AI$17,9,0)</f>
        <v>56.586978</v>
      </c>
      <c r="V8" s="53">
        <f>VLOOKUP($A8,[3]基础指标!$Y$2:$AI$17,10,0)</f>
        <v>3.88</v>
      </c>
      <c r="W8" s="55">
        <f>V8/U8</f>
        <v>0.0685670120076036</v>
      </c>
      <c r="X8" s="56">
        <f>S8-V8</f>
        <v>1.719532</v>
      </c>
      <c r="Y8" s="55">
        <f>(S8/R8)-(V8/U8)</f>
        <v>0.0228886926765824</v>
      </c>
      <c r="Z8" s="53">
        <f>B8+J8+R8</f>
        <v>514.230069</v>
      </c>
      <c r="AA8" s="53">
        <f>C8+K8+S8</f>
        <v>165.550423</v>
      </c>
      <c r="AB8" s="54">
        <f t="shared" si="3"/>
        <v>0.321938433748027</v>
      </c>
      <c r="AC8" s="53">
        <f>E8+M8+U8</f>
        <v>511.120547</v>
      </c>
      <c r="AD8" s="53">
        <f>F8+N8+V8</f>
        <v>177.35</v>
      </c>
      <c r="AE8" s="55">
        <f>AD8/AC8</f>
        <v>0.346982724605669</v>
      </c>
      <c r="AF8" s="56">
        <f>AA8-AD8</f>
        <v>-11.799577</v>
      </c>
      <c r="AG8" s="58">
        <f>(AA8/Z8)-(AD8/AC8)</f>
        <v>-0.0250442908576419</v>
      </c>
      <c r="AH8" s="53">
        <v>356.33810977</v>
      </c>
      <c r="AI8" s="38">
        <f>AA8/AH8</f>
        <v>0.464588037206728</v>
      </c>
      <c r="AJ8" s="57" t="s">
        <v>79</v>
      </c>
    </row>
    <row r="9" ht="37" customHeight="1" spans="1:36">
      <c r="A9" s="52" t="s">
        <v>14</v>
      </c>
      <c r="B9" s="53">
        <f>VLOOKUP($A9,[2]基础指标!$AB$2:$AL$17,3,0)</f>
        <v>280.59558</v>
      </c>
      <c r="C9" s="53">
        <f>VLOOKUP($A9,[2]基础指标!$AB$2:$AL$17,4,0)</f>
        <v>105.68561</v>
      </c>
      <c r="D9" s="54">
        <f t="shared" si="0"/>
        <v>0.376647451110955</v>
      </c>
      <c r="E9" s="53">
        <f>VLOOKUP($A9,[3]基础指标!$Y$2:$AI$17,3,0)</f>
        <v>256.124144</v>
      </c>
      <c r="F9" s="53">
        <f>VLOOKUP($A9,[3]基础指标!$Y$2:$AI$17,4,0)</f>
        <v>101.50691</v>
      </c>
      <c r="G9" s="55">
        <f>F9/E9</f>
        <v>0.396319177156528</v>
      </c>
      <c r="H9" s="56">
        <f>C9-F9</f>
        <v>4.17869999999999</v>
      </c>
      <c r="I9" s="55">
        <f>D9-G9</f>
        <v>-0.0196717260455732</v>
      </c>
      <c r="J9" s="53">
        <f>VLOOKUP($A9,[2]基础指标!$AB$2:$AL$17,6,0)</f>
        <v>79.057741</v>
      </c>
      <c r="K9" s="53">
        <f>VLOOKUP($A9,[2]基础指标!$AB$2:$AL$17,7,0)</f>
        <v>17.28289</v>
      </c>
      <c r="L9" s="54">
        <f t="shared" si="1"/>
        <v>0.218610977007299</v>
      </c>
      <c r="M9" s="53">
        <f>VLOOKUP($A9,[3]基础指标!$Y$2:$AI$17,6,0)</f>
        <v>60.416167</v>
      </c>
      <c r="N9" s="53">
        <f>VLOOKUP($A9,[3]基础指标!$Y$2:$AI$17,7,0)</f>
        <v>10.77542</v>
      </c>
      <c r="O9" s="55">
        <f>N9/M9</f>
        <v>0.178353254353259</v>
      </c>
      <c r="P9" s="56">
        <f>K9-N9</f>
        <v>6.50747</v>
      </c>
      <c r="Q9" s="55">
        <f>(K9/J9)-(N9/M9)</f>
        <v>0.0402577226540396</v>
      </c>
      <c r="R9" s="53">
        <f>VLOOKUP($A9,[2]基础指标!$AB$2:$AL$17,9,0)</f>
        <v>0.681407</v>
      </c>
      <c r="S9" s="53">
        <f>VLOOKUP($A9,[2]基础指标!$AB$2:$AL$17,10,0)</f>
        <v>0.064536</v>
      </c>
      <c r="T9" s="54">
        <f t="shared" si="2"/>
        <v>0.0947099163935798</v>
      </c>
      <c r="U9" s="53">
        <f>VLOOKUP($A9,[3]基础指标!$Y$2:$AI$17,9,0)</f>
        <v>0</v>
      </c>
      <c r="V9" s="53">
        <f>VLOOKUP($A9,[3]基础指标!$Y$2:$AI$17,10,0)</f>
        <v>0</v>
      </c>
      <c r="W9" s="59">
        <v>0</v>
      </c>
      <c r="X9" s="56">
        <f>S9-V9</f>
        <v>0.064536</v>
      </c>
      <c r="Y9" s="55">
        <f>T9</f>
        <v>0.0947099163935798</v>
      </c>
      <c r="Z9" s="53">
        <f>B9+J9+R9</f>
        <v>360.334728</v>
      </c>
      <c r="AA9" s="53">
        <f>C9+K9+S9</f>
        <v>123.033036</v>
      </c>
      <c r="AB9" s="54">
        <f t="shared" si="3"/>
        <v>0.341440961527305</v>
      </c>
      <c r="AC9" s="53">
        <f>E9+M9+U9</f>
        <v>316.540311</v>
      </c>
      <c r="AD9" s="53">
        <f>F9+N9+V9</f>
        <v>112.28233</v>
      </c>
      <c r="AE9" s="55">
        <f>AD9/AC9</f>
        <v>0.354717317504626</v>
      </c>
      <c r="AF9" s="56">
        <f>AA9-AD9</f>
        <v>10.750706</v>
      </c>
      <c r="AG9" s="55">
        <f>(AA9/Z9)-(AD9/AC9)</f>
        <v>-0.0132763559773206</v>
      </c>
      <c r="AH9" s="53">
        <v>266.4685107</v>
      </c>
      <c r="AI9" s="38">
        <f>AA9/AH9</f>
        <v>0.461716979904298</v>
      </c>
      <c r="AJ9" s="57"/>
    </row>
    <row r="10" ht="37" customHeight="1" spans="1:36">
      <c r="A10" s="52" t="s">
        <v>15</v>
      </c>
      <c r="B10" s="53">
        <f>VLOOKUP($A10,[2]基础指标!$AB$2:$AL$17,3,0)</f>
        <v>1190.375651</v>
      </c>
      <c r="C10" s="53">
        <f>VLOOKUP($A10,[2]基础指标!$AB$2:$AL$17,4,0)</f>
        <v>366.23837</v>
      </c>
      <c r="D10" s="54">
        <f t="shared" si="0"/>
        <v>0.307666214184013</v>
      </c>
      <c r="E10" s="53">
        <f>VLOOKUP($A10,[3]基础指标!$Y$2:$AI$17,3,0)</f>
        <v>947.540774</v>
      </c>
      <c r="F10" s="53">
        <f>VLOOKUP($A10,[3]基础指标!$Y$2:$AI$17,4,0)</f>
        <v>272.234803</v>
      </c>
      <c r="G10" s="55">
        <f t="shared" ref="G6:G21" si="4">F10/E10</f>
        <v>0.287306689558881</v>
      </c>
      <c r="H10" s="56">
        <f t="shared" ref="H6:H12" si="5">C10-F10</f>
        <v>94.003567</v>
      </c>
      <c r="I10" s="55">
        <f t="shared" ref="I6:I21" si="6">D10-G10</f>
        <v>0.020359524625132</v>
      </c>
      <c r="J10" s="53">
        <f>VLOOKUP($A10,[2]基础指标!$AB$2:$AL$17,6,0)</f>
        <v>495.813935</v>
      </c>
      <c r="K10" s="53">
        <f>VLOOKUP($A10,[2]基础指标!$AB$2:$AL$17,7,0)</f>
        <v>77.337046</v>
      </c>
      <c r="L10" s="54">
        <f t="shared" si="1"/>
        <v>0.155979976641842</v>
      </c>
      <c r="M10" s="53">
        <f>VLOOKUP($A10,[3]基础指标!$Y$2:$AI$17,6,0)</f>
        <v>325.427113</v>
      </c>
      <c r="N10" s="53">
        <f>VLOOKUP($A10,[3]基础指标!$Y$2:$AI$17,7,0)</f>
        <v>49.126351</v>
      </c>
      <c r="O10" s="55">
        <f t="shared" ref="O6:O21" si="7">N10/M10</f>
        <v>0.150959612882655</v>
      </c>
      <c r="P10" s="56">
        <f t="shared" ref="P6:P12" si="8">K10-N10</f>
        <v>28.210695</v>
      </c>
      <c r="Q10" s="55">
        <f t="shared" ref="Q6:Q12" si="9">(K10/J10)-(N10/M10)</f>
        <v>0.00502036375918755</v>
      </c>
      <c r="R10" s="53">
        <f>VLOOKUP($A10,[2]基础指标!$AB$2:$AL$17,9,0)</f>
        <v>85.061126</v>
      </c>
      <c r="S10" s="53">
        <f>VLOOKUP($A10,[2]基础指标!$AB$2:$AL$17,10,0)</f>
        <v>3.546942</v>
      </c>
      <c r="T10" s="54">
        <f t="shared" si="2"/>
        <v>0.0416987426195134</v>
      </c>
      <c r="U10" s="53">
        <f>VLOOKUP($A10,[3]基础指标!$Y$2:$AI$17,9,0)</f>
        <v>57.728829</v>
      </c>
      <c r="V10" s="53">
        <f>VLOOKUP($A10,[3]基础指标!$Y$2:$AI$17,10,0)</f>
        <v>7.805485</v>
      </c>
      <c r="W10" s="55">
        <f t="shared" ref="W7:W21" si="10">V10/U10</f>
        <v>0.135209480864405</v>
      </c>
      <c r="X10" s="56">
        <f t="shared" ref="X6:X12" si="11">S10-V10</f>
        <v>-4.258543</v>
      </c>
      <c r="Y10" s="55">
        <f t="shared" ref="Y6:Y12" si="12">(S10/R10)-(V10/U10)</f>
        <v>-0.0935107382448914</v>
      </c>
      <c r="Z10" s="53">
        <f t="shared" ref="Z6:Z12" si="13">B10+J10+R10</f>
        <v>1771.250712</v>
      </c>
      <c r="AA10" s="53">
        <f t="shared" ref="AA6:AA12" si="14">C10+K10+S10</f>
        <v>447.122358</v>
      </c>
      <c r="AB10" s="54">
        <f t="shared" si="3"/>
        <v>0.252433128168024</v>
      </c>
      <c r="AC10" s="53">
        <f t="shared" ref="AC6:AC12" si="15">E10+M10+U10</f>
        <v>1330.696716</v>
      </c>
      <c r="AD10" s="53">
        <f t="shared" ref="AD6:AD12" si="16">F10+N10+V10</f>
        <v>329.166639</v>
      </c>
      <c r="AE10" s="55">
        <f t="shared" ref="AE6:AE21" si="17">AD10/AC10</f>
        <v>0.247364132669882</v>
      </c>
      <c r="AF10" s="56">
        <f t="shared" ref="AF6:AF12" si="18">AA10-AD10</f>
        <v>117.955719</v>
      </c>
      <c r="AG10" s="55">
        <f t="shared" ref="AG6:AG12" si="19">(AA10/Z10)-(AD10/AC10)</f>
        <v>0.00506899549814233</v>
      </c>
      <c r="AH10" s="53">
        <v>1035.55197723</v>
      </c>
      <c r="AI10" s="38">
        <f t="shared" ref="AI6:AI21" si="20">AA10/AH10</f>
        <v>0.431772009354864</v>
      </c>
      <c r="AJ10" s="57"/>
    </row>
    <row r="11" ht="37" customHeight="1" spans="1:36">
      <c r="A11" s="52" t="s">
        <v>19</v>
      </c>
      <c r="B11" s="53">
        <f>VLOOKUP($A11,[2]基础指标!$AB$2:$AL$17,3,0)</f>
        <v>506.889661</v>
      </c>
      <c r="C11" s="53">
        <f>VLOOKUP($A11,[2]基础指标!$AB$2:$AL$17,4,0)</f>
        <v>134.719564</v>
      </c>
      <c r="D11" s="54">
        <f t="shared" si="0"/>
        <v>0.265776902480558</v>
      </c>
      <c r="E11" s="53">
        <f>VLOOKUP($A11,[3]基础指标!$Y$2:$AI$17,3,0)</f>
        <v>499.715043</v>
      </c>
      <c r="F11" s="53">
        <f>VLOOKUP($A11,[3]基础指标!$Y$2:$AI$17,4,0)</f>
        <v>134.562819</v>
      </c>
      <c r="G11" s="55">
        <f t="shared" si="4"/>
        <v>0.269279103931238</v>
      </c>
      <c r="H11" s="56">
        <f t="shared" si="5"/>
        <v>0.156745000000001</v>
      </c>
      <c r="I11" s="55">
        <f t="shared" si="6"/>
        <v>-0.0035022014506802</v>
      </c>
      <c r="J11" s="53">
        <f>VLOOKUP($A11,[2]基础指标!$AB$2:$AL$17,6,0)</f>
        <v>321.635762</v>
      </c>
      <c r="K11" s="53">
        <f>VLOOKUP($A11,[2]基础指标!$AB$2:$AL$17,7,0)</f>
        <v>20.36503</v>
      </c>
      <c r="L11" s="54">
        <f t="shared" si="1"/>
        <v>0.0633170573861746</v>
      </c>
      <c r="M11" s="53">
        <f>VLOOKUP($A11,[3]基础指标!$Y$2:$AI$17,6,0)</f>
        <v>283.561748</v>
      </c>
      <c r="N11" s="53">
        <f>VLOOKUP($A11,[3]基础指标!$Y$2:$AI$17,7,0)</f>
        <v>32.70849</v>
      </c>
      <c r="O11" s="55">
        <f t="shared" si="7"/>
        <v>0.115348738786869</v>
      </c>
      <c r="P11" s="56">
        <f t="shared" si="8"/>
        <v>-12.34346</v>
      </c>
      <c r="Q11" s="58">
        <f t="shared" si="9"/>
        <v>-0.0520316814006945</v>
      </c>
      <c r="R11" s="53">
        <f>VLOOKUP($A11,[2]基础指标!$AB$2:$AL$17,9,0)</f>
        <v>731.35248</v>
      </c>
      <c r="S11" s="53">
        <f>VLOOKUP($A11,[2]基础指标!$AB$2:$AL$17,10,0)</f>
        <v>12.192425</v>
      </c>
      <c r="T11" s="54">
        <f t="shared" si="2"/>
        <v>0.0166710653664564</v>
      </c>
      <c r="U11" s="53">
        <f>VLOOKUP($A11,[3]基础指标!$Y$2:$AI$17,9,0)</f>
        <v>742.394745</v>
      </c>
      <c r="V11" s="53">
        <f>VLOOKUP($A11,[3]基础指标!$Y$2:$AI$17,10,0)</f>
        <v>35.284404</v>
      </c>
      <c r="W11" s="55">
        <f t="shared" si="10"/>
        <v>0.0475278202568635</v>
      </c>
      <c r="X11" s="56">
        <f t="shared" si="11"/>
        <v>-23.091979</v>
      </c>
      <c r="Y11" s="55">
        <f t="shared" si="12"/>
        <v>-0.0308567548904071</v>
      </c>
      <c r="Z11" s="53">
        <f t="shared" si="13"/>
        <v>1559.877903</v>
      </c>
      <c r="AA11" s="53">
        <f t="shared" si="14"/>
        <v>167.277019</v>
      </c>
      <c r="AB11" s="54">
        <f t="shared" si="3"/>
        <v>0.107237251504293</v>
      </c>
      <c r="AC11" s="53">
        <f t="shared" si="15"/>
        <v>1525.671536</v>
      </c>
      <c r="AD11" s="53">
        <f t="shared" si="16"/>
        <v>202.555713</v>
      </c>
      <c r="AE11" s="55">
        <f t="shared" si="17"/>
        <v>0.132764955116787</v>
      </c>
      <c r="AF11" s="56">
        <f t="shared" si="18"/>
        <v>-35.278694</v>
      </c>
      <c r="AG11" s="58">
        <f t="shared" si="19"/>
        <v>-0.0255277036124944</v>
      </c>
      <c r="AH11" s="53">
        <v>458.64400324</v>
      </c>
      <c r="AI11" s="55">
        <f t="shared" si="20"/>
        <v>0.364720824470187</v>
      </c>
      <c r="AJ11" s="57" t="s">
        <v>80</v>
      </c>
    </row>
    <row r="12" ht="37" customHeight="1" spans="1:36">
      <c r="A12" s="52" t="s">
        <v>21</v>
      </c>
      <c r="B12" s="53">
        <f>VLOOKUP($A12,[2]基础指标!$AB$2:$AL$17,3,0)</f>
        <v>738.009709</v>
      </c>
      <c r="C12" s="53">
        <f>VLOOKUP($A12,[2]基础指标!$AB$2:$AL$17,4,0)</f>
        <v>167.370665</v>
      </c>
      <c r="D12" s="54">
        <f t="shared" si="0"/>
        <v>0.226786535405864</v>
      </c>
      <c r="E12" s="53">
        <f>VLOOKUP($A12,[3]基础指标!$Y$2:$AI$17,3,0)</f>
        <v>831.419011</v>
      </c>
      <c r="F12" s="53">
        <f>VLOOKUP($A12,[3]基础指标!$Y$2:$AI$17,4,0)</f>
        <v>238.200648</v>
      </c>
      <c r="G12" s="55">
        <f t="shared" si="4"/>
        <v>0.286498919135252</v>
      </c>
      <c r="H12" s="56">
        <f t="shared" si="5"/>
        <v>-70.829983</v>
      </c>
      <c r="I12" s="58">
        <f t="shared" si="6"/>
        <v>-0.0597123837293879</v>
      </c>
      <c r="J12" s="53">
        <f>VLOOKUP($A12,[2]基础指标!$AB$2:$AL$17,6,0)</f>
        <v>485.744973</v>
      </c>
      <c r="K12" s="53">
        <f>VLOOKUP($A12,[2]基础指标!$AB$2:$AL$17,7,0)</f>
        <v>35.445475</v>
      </c>
      <c r="L12" s="54">
        <f t="shared" si="1"/>
        <v>0.0729713676316317</v>
      </c>
      <c r="M12" s="53">
        <f>VLOOKUP($A12,[3]基础指标!$Y$2:$AI$17,6,0)</f>
        <v>565.718525</v>
      </c>
      <c r="N12" s="53">
        <f>VLOOKUP($A12,[3]基础指标!$Y$2:$AI$17,7,0)</f>
        <v>56.101079</v>
      </c>
      <c r="O12" s="55">
        <f t="shared" si="7"/>
        <v>0.0991678308572271</v>
      </c>
      <c r="P12" s="56">
        <f t="shared" si="8"/>
        <v>-20.655604</v>
      </c>
      <c r="Q12" s="58">
        <f t="shared" si="9"/>
        <v>-0.0261964632255954</v>
      </c>
      <c r="R12" s="53">
        <f>VLOOKUP($A12,[2]基础指标!$AB$2:$AL$17,9,0)</f>
        <v>478.198434</v>
      </c>
      <c r="S12" s="53">
        <f>VLOOKUP($A12,[2]基础指标!$AB$2:$AL$17,10,0)</f>
        <v>61.098945</v>
      </c>
      <c r="T12" s="54">
        <f t="shared" si="2"/>
        <v>0.127769019419248</v>
      </c>
      <c r="U12" s="53">
        <f>VLOOKUP($A12,[3]基础指标!$Y$2:$AI$17,9,0)</f>
        <v>492.8672</v>
      </c>
      <c r="V12" s="53">
        <f>VLOOKUP($A12,[3]基础指标!$Y$2:$AI$17,10,0)</f>
        <v>47.703012</v>
      </c>
      <c r="W12" s="55">
        <f t="shared" si="10"/>
        <v>0.0967867449893196</v>
      </c>
      <c r="X12" s="56">
        <f t="shared" si="11"/>
        <v>13.395933</v>
      </c>
      <c r="Y12" s="55">
        <f t="shared" si="12"/>
        <v>0.0309822744299284</v>
      </c>
      <c r="Z12" s="53">
        <f t="shared" si="13"/>
        <v>1701.953116</v>
      </c>
      <c r="AA12" s="53">
        <f t="shared" si="14"/>
        <v>263.915085</v>
      </c>
      <c r="AB12" s="54">
        <f t="shared" si="3"/>
        <v>0.15506601358107</v>
      </c>
      <c r="AC12" s="53">
        <f t="shared" si="15"/>
        <v>1890.004736</v>
      </c>
      <c r="AD12" s="53">
        <f t="shared" si="16"/>
        <v>342.004739</v>
      </c>
      <c r="AE12" s="55">
        <f t="shared" si="17"/>
        <v>0.180954434920527</v>
      </c>
      <c r="AF12" s="56">
        <f t="shared" si="18"/>
        <v>-78.089654</v>
      </c>
      <c r="AG12" s="58">
        <f t="shared" si="19"/>
        <v>-0.0258884213394573</v>
      </c>
      <c r="AH12" s="53">
        <v>819.689175177</v>
      </c>
      <c r="AI12" s="55">
        <f t="shared" si="20"/>
        <v>0.321969708753335</v>
      </c>
      <c r="AJ12" s="57" t="s">
        <v>81</v>
      </c>
    </row>
    <row r="13" ht="37" customHeight="1" spans="1:36">
      <c r="A13" s="60" t="s">
        <v>23</v>
      </c>
      <c r="B13" s="61">
        <f>SUM(B6:B12)</f>
        <v>6225.480306</v>
      </c>
      <c r="C13" s="61">
        <f>SUM(C6:C12)</f>
        <v>1865.668374</v>
      </c>
      <c r="D13" s="62">
        <f>C13/B13</f>
        <v>0.299682640101183</v>
      </c>
      <c r="E13" s="61">
        <f>SUM(E6:E12)</f>
        <v>4763.636578</v>
      </c>
      <c r="F13" s="61">
        <f>SUM(F6:F12)</f>
        <v>1487.645646</v>
      </c>
      <c r="G13" s="62">
        <f t="shared" si="4"/>
        <v>0.312292010870524</v>
      </c>
      <c r="H13" s="63">
        <f>SUM(H6:H12)</f>
        <v>378.022728</v>
      </c>
      <c r="I13" s="62">
        <f t="shared" si="6"/>
        <v>-0.0126093707693411</v>
      </c>
      <c r="J13" s="61">
        <f>SUM(J6:J12)</f>
        <v>2529.504587</v>
      </c>
      <c r="K13" s="61">
        <f>SUM(K6:K12)</f>
        <v>283.824078</v>
      </c>
      <c r="L13" s="62">
        <f>K13/J13</f>
        <v>0.112205401586805</v>
      </c>
      <c r="M13" s="61">
        <f>SUM(M6:M12)</f>
        <v>2034.593046</v>
      </c>
      <c r="N13" s="61">
        <f>SUM(N6:N12)</f>
        <v>215.105798</v>
      </c>
      <c r="O13" s="62">
        <f t="shared" si="7"/>
        <v>0.105724237297919</v>
      </c>
      <c r="P13" s="63">
        <f>SUM(P6:P12)</f>
        <v>68.71828</v>
      </c>
      <c r="Q13" s="62">
        <f>L13-O13</f>
        <v>0.00648116428888587</v>
      </c>
      <c r="R13" s="61">
        <f>SUM(R6:R12)</f>
        <v>1953.463624</v>
      </c>
      <c r="S13" s="61">
        <f>SUM(S6:S12)</f>
        <v>117.07128</v>
      </c>
      <c r="T13" s="62">
        <f>S13/R13</f>
        <v>0.0599301049488086</v>
      </c>
      <c r="U13" s="61">
        <f>SUM(U6:U12)</f>
        <v>2196.305842</v>
      </c>
      <c r="V13" s="61">
        <f>SUM(V6:V12)</f>
        <v>128.194243</v>
      </c>
      <c r="W13" s="62">
        <f t="shared" si="10"/>
        <v>0.0583681200261543</v>
      </c>
      <c r="X13" s="63">
        <f>SUM(X6:X12)</f>
        <v>-11.122963</v>
      </c>
      <c r="Y13" s="62">
        <f>T13-W13</f>
        <v>0.00156198492265431</v>
      </c>
      <c r="Z13" s="61">
        <f>SUM(Z6:Z12)</f>
        <v>10708.448517</v>
      </c>
      <c r="AA13" s="61">
        <f>SUM(AA6:AA12)</f>
        <v>2266.563732</v>
      </c>
      <c r="AB13" s="62">
        <f>AA13/Z13</f>
        <v>0.211661262451023</v>
      </c>
      <c r="AC13" s="61">
        <f>SUM(AC6:AC12)</f>
        <v>8994.535466</v>
      </c>
      <c r="AD13" s="61">
        <f>SUM(AD6:AD12)</f>
        <v>1830.945687</v>
      </c>
      <c r="AE13" s="62">
        <f t="shared" si="17"/>
        <v>0.203562006500626</v>
      </c>
      <c r="AF13" s="63">
        <f>SUM(AF6:AF12)</f>
        <v>435.618045</v>
      </c>
      <c r="AG13" s="62">
        <f>AB13-AE13</f>
        <v>0.00809925595039651</v>
      </c>
      <c r="AH13" s="63">
        <f>SUM(AH6:AH12)</f>
        <v>5254.266833657</v>
      </c>
      <c r="AI13" s="62">
        <f t="shared" si="20"/>
        <v>0.431375832967063</v>
      </c>
      <c r="AJ13" s="57"/>
    </row>
    <row r="14" ht="37" customHeight="1" spans="1:36">
      <c r="A14" s="52" t="s">
        <v>26</v>
      </c>
      <c r="B14" s="53">
        <f>VLOOKUP($A14,[2]基础指标!$AB$2:$AL$17,3,0)</f>
        <v>1749.556572</v>
      </c>
      <c r="C14" s="53">
        <f>VLOOKUP($A14,[2]基础指标!$AB$2:$AL$17,4,0)</f>
        <v>1045.527246</v>
      </c>
      <c r="D14" s="54">
        <f t="shared" ref="D14:D19" si="21">IF(B14&gt;0,C14/B14,"——")</f>
        <v>0.597595563774659</v>
      </c>
      <c r="E14" s="53">
        <f>VLOOKUP($A14,[3]基础指标!$Y$2:$AI$17,3,0)</f>
        <v>1718.173794</v>
      </c>
      <c r="F14" s="53">
        <f>VLOOKUP($A14,[3]基础指标!$Y$2:$AI$17,4,0)</f>
        <v>1078.881674</v>
      </c>
      <c r="G14" s="55">
        <f t="shared" si="4"/>
        <v>0.627923483507629</v>
      </c>
      <c r="H14" s="56">
        <f t="shared" ref="H14:H19" si="22">C14-F14</f>
        <v>-33.3544279999999</v>
      </c>
      <c r="I14" s="58">
        <f t="shared" si="6"/>
        <v>-0.0303279197329699</v>
      </c>
      <c r="J14" s="53">
        <f>VLOOKUP($A14,[2]基础指标!$AB$2:$AL$17,6,0)</f>
        <v>546.818069</v>
      </c>
      <c r="K14" s="53">
        <f>VLOOKUP($A14,[2]基础指标!$AB$2:$AL$17,7,0)</f>
        <v>115.76631</v>
      </c>
      <c r="L14" s="54">
        <f t="shared" ref="L14:L19" si="23">IF(J14&gt;0,K14/J14,"——")</f>
        <v>0.211709006272797</v>
      </c>
      <c r="M14" s="53">
        <f>VLOOKUP($A14,[3]基础指标!$Y$2:$AI$17,6,0)</f>
        <v>489.31725</v>
      </c>
      <c r="N14" s="53">
        <f>VLOOKUP($A14,[3]基础指标!$Y$2:$AI$17,7,0)</f>
        <v>121.73945</v>
      </c>
      <c r="O14" s="55">
        <f t="shared" si="7"/>
        <v>0.24879451930215</v>
      </c>
      <c r="P14" s="56">
        <f t="shared" ref="P14:P19" si="24">K14-N14</f>
        <v>-5.97314</v>
      </c>
      <c r="Q14" s="58">
        <f t="shared" ref="Q14:Q19" si="25">(K14/J14)-(N14/M14)</f>
        <v>-0.0370855130293526</v>
      </c>
      <c r="R14" s="53">
        <f>VLOOKUP($A14,[2]基础指标!$AB$2:$AL$17,9,0)</f>
        <v>176.517082</v>
      </c>
      <c r="S14" s="53">
        <f>VLOOKUP($A14,[2]基础指标!$AB$2:$AL$17,10,0)</f>
        <v>25.85532</v>
      </c>
      <c r="T14" s="54">
        <f t="shared" ref="T14:T19" si="26">IF(R14&gt;0,S14/R14,"——")</f>
        <v>0.146474889042183</v>
      </c>
      <c r="U14" s="53">
        <f>VLOOKUP($A14,[3]基础指标!$Y$2:$AI$17,9,0)</f>
        <v>187.70449</v>
      </c>
      <c r="V14" s="53">
        <f>VLOOKUP($A14,[3]基础指标!$Y$2:$AI$17,10,0)</f>
        <v>31.384834</v>
      </c>
      <c r="W14" s="55">
        <f t="shared" si="10"/>
        <v>0.167203427046417</v>
      </c>
      <c r="X14" s="56">
        <f t="shared" ref="X14:X19" si="27">S14-V14</f>
        <v>-5.529514</v>
      </c>
      <c r="Y14" s="55">
        <f t="shared" ref="Y14:Y19" si="28">(S14/R14)-(V14/U14)</f>
        <v>-0.020728538004234</v>
      </c>
      <c r="Z14" s="53">
        <f t="shared" ref="Z14:Z19" si="29">B14+J14+R14</f>
        <v>2472.891723</v>
      </c>
      <c r="AA14" s="53">
        <f t="shared" ref="AA14:AA19" si="30">C14+K14+S14</f>
        <v>1187.148876</v>
      </c>
      <c r="AB14" s="54">
        <f t="shared" ref="AB14:AB19" si="31">IF(Z14&gt;0,AA14/Z14,"——")</f>
        <v>0.480065044885914</v>
      </c>
      <c r="AC14" s="53">
        <f t="shared" ref="AC14:AC19" si="32">E14+M14+U14</f>
        <v>2395.195534</v>
      </c>
      <c r="AD14" s="53">
        <f t="shared" ref="AD14:AD19" si="33">F14+N14+V14</f>
        <v>1232.005958</v>
      </c>
      <c r="AE14" s="55">
        <f t="shared" si="17"/>
        <v>0.514365503989788</v>
      </c>
      <c r="AF14" s="56">
        <f t="shared" ref="AF14:AF19" si="34">AA14-AD14</f>
        <v>-44.857082</v>
      </c>
      <c r="AG14" s="58">
        <f t="shared" ref="AG14:AG19" si="35">(AA14/Z14)-(AD14/AC14)</f>
        <v>-0.0343004591038742</v>
      </c>
      <c r="AH14" s="53">
        <v>1666.40005309</v>
      </c>
      <c r="AI14" s="38">
        <f t="shared" si="20"/>
        <v>0.712403287433095</v>
      </c>
      <c r="AJ14" s="57" t="s">
        <v>82</v>
      </c>
    </row>
    <row r="15" ht="37" customHeight="1" spans="1:36">
      <c r="A15" s="52" t="s">
        <v>30</v>
      </c>
      <c r="B15" s="53">
        <f>VLOOKUP($A15,[2]基础指标!$AB$2:$AL$17,3,0)</f>
        <v>194.771351</v>
      </c>
      <c r="C15" s="53">
        <f>VLOOKUP($A15,[2]基础指标!$AB$2:$AL$17,4,0)</f>
        <v>102.320842</v>
      </c>
      <c r="D15" s="54">
        <f t="shared" si="21"/>
        <v>0.525338256754198</v>
      </c>
      <c r="E15" s="53">
        <f>VLOOKUP($A15,[3]基础指标!$Y$2:$AI$17,3,0)</f>
        <v>236.021612</v>
      </c>
      <c r="F15" s="53">
        <f>VLOOKUP($A15,[3]基础指标!$Y$2:$AI$17,4,0)</f>
        <v>122.003013</v>
      </c>
      <c r="G15" s="55">
        <f t="shared" si="4"/>
        <v>0.516914582381549</v>
      </c>
      <c r="H15" s="56">
        <f t="shared" si="22"/>
        <v>-19.682171</v>
      </c>
      <c r="I15" s="55">
        <f t="shared" si="6"/>
        <v>0.0084236743726489</v>
      </c>
      <c r="J15" s="53">
        <f>VLOOKUP($A15,[2]基础指标!$AB$2:$AL$17,6,0)</f>
        <v>52.1392300000001</v>
      </c>
      <c r="K15" s="53">
        <f>VLOOKUP($A15,[2]基础指标!$AB$2:$AL$17,7,0)</f>
        <v>5.658802</v>
      </c>
      <c r="L15" s="54">
        <f t="shared" si="23"/>
        <v>0.108532519563484</v>
      </c>
      <c r="M15" s="53">
        <f>VLOOKUP($A15,[3]基础指标!$Y$2:$AI$17,6,0)</f>
        <v>34.34192</v>
      </c>
      <c r="N15" s="53">
        <f>VLOOKUP($A15,[3]基础指标!$Y$2:$AI$17,7,0)</f>
        <v>2.287928</v>
      </c>
      <c r="O15" s="55">
        <f t="shared" si="7"/>
        <v>0.0666220176390837</v>
      </c>
      <c r="P15" s="56">
        <f t="shared" si="24"/>
        <v>3.370874</v>
      </c>
      <c r="Q15" s="55">
        <f t="shared" si="25"/>
        <v>0.0419105019244003</v>
      </c>
      <c r="R15" s="53">
        <f>VLOOKUP($A15,[2]基础指标!$AB$2:$AL$17,9,0)</f>
        <v>22.604002</v>
      </c>
      <c r="S15" s="53">
        <f>VLOOKUP($A15,[2]基础指标!$AB$2:$AL$17,10,0)</f>
        <v>0.054424</v>
      </c>
      <c r="T15" s="54">
        <f t="shared" si="26"/>
        <v>0.00240771523555873</v>
      </c>
      <c r="U15" s="53">
        <f>VLOOKUP($A15,[3]基础指标!$Y$2:$AI$17,9,0)</f>
        <v>16.760256</v>
      </c>
      <c r="V15" s="53">
        <f>VLOOKUP($A15,[3]基础指标!$Y$2:$AI$17,10,0)</f>
        <v>0.012</v>
      </c>
      <c r="W15" s="55">
        <f t="shared" si="10"/>
        <v>0.00071597951725797</v>
      </c>
      <c r="X15" s="56">
        <f t="shared" si="27"/>
        <v>0.042424</v>
      </c>
      <c r="Y15" s="55">
        <f t="shared" si="28"/>
        <v>0.00169173571830076</v>
      </c>
      <c r="Z15" s="53">
        <f t="shared" si="29"/>
        <v>269.514583</v>
      </c>
      <c r="AA15" s="53">
        <f t="shared" si="30"/>
        <v>108.034068</v>
      </c>
      <c r="AB15" s="54">
        <f t="shared" si="31"/>
        <v>0.400846836551327</v>
      </c>
      <c r="AC15" s="53">
        <f t="shared" si="32"/>
        <v>287.123788</v>
      </c>
      <c r="AD15" s="53">
        <f t="shared" si="33"/>
        <v>124.302941</v>
      </c>
      <c r="AE15" s="55">
        <f t="shared" si="17"/>
        <v>0.432924564926679</v>
      </c>
      <c r="AF15" s="56">
        <f t="shared" si="34"/>
        <v>-16.268873</v>
      </c>
      <c r="AG15" s="58">
        <f t="shared" si="35"/>
        <v>-0.0320777283753523</v>
      </c>
      <c r="AH15" s="53">
        <v>162.93789785</v>
      </c>
      <c r="AI15" s="38">
        <f t="shared" si="20"/>
        <v>0.663038307389087</v>
      </c>
      <c r="AJ15" s="57" t="s">
        <v>83</v>
      </c>
    </row>
    <row r="16" ht="37" customHeight="1" spans="1:36">
      <c r="A16" s="52" t="s">
        <v>24</v>
      </c>
      <c r="B16" s="53">
        <f>VLOOKUP($A16,[2]基础指标!$AB$2:$AL$17,3,0)</f>
        <v>372.01</v>
      </c>
      <c r="C16" s="53">
        <f>VLOOKUP($A16,[2]基础指标!$AB$2:$AL$17,4,0)</f>
        <v>205.64</v>
      </c>
      <c r="D16" s="54">
        <f t="shared" si="21"/>
        <v>0.552780839224752</v>
      </c>
      <c r="E16" s="53">
        <f>VLOOKUP($A16,[3]基础指标!$Y$2:$AI$17,3,0)</f>
        <v>323.23</v>
      </c>
      <c r="F16" s="53">
        <f>VLOOKUP($A16,[3]基础指标!$Y$2:$AI$17,4,0)</f>
        <v>169.68</v>
      </c>
      <c r="G16" s="55">
        <f t="shared" si="4"/>
        <v>0.524951273087275</v>
      </c>
      <c r="H16" s="56">
        <f t="shared" si="22"/>
        <v>35.96</v>
      </c>
      <c r="I16" s="55">
        <f t="shared" si="6"/>
        <v>0.027829566137477</v>
      </c>
      <c r="J16" s="53">
        <f>VLOOKUP($A16,[2]基础指标!$AB$2:$AL$17,6,0)</f>
        <v>62.3799999999997</v>
      </c>
      <c r="K16" s="53">
        <f>VLOOKUP($A16,[2]基础指标!$AB$2:$AL$17,7,0)</f>
        <v>6.98</v>
      </c>
      <c r="L16" s="54">
        <f t="shared" si="23"/>
        <v>0.111894838089132</v>
      </c>
      <c r="M16" s="53">
        <f>VLOOKUP($A16,[3]基础指标!$Y$2:$AI$17,6,0)</f>
        <v>60.75</v>
      </c>
      <c r="N16" s="53">
        <f>VLOOKUP($A16,[3]基础指标!$Y$2:$AI$17,7,0)</f>
        <v>8.57</v>
      </c>
      <c r="O16" s="55">
        <f t="shared" si="7"/>
        <v>0.141069958847737</v>
      </c>
      <c r="P16" s="56">
        <f t="shared" si="24"/>
        <v>-1.59</v>
      </c>
      <c r="Q16" s="58">
        <f t="shared" si="25"/>
        <v>-0.0291751207586049</v>
      </c>
      <c r="R16" s="53">
        <f>VLOOKUP($A16,[2]基础指标!$AB$2:$AL$17,9,0)</f>
        <v>25.79</v>
      </c>
      <c r="S16" s="53">
        <f>VLOOKUP($A16,[2]基础指标!$AB$2:$AL$17,10,0)</f>
        <v>1.052</v>
      </c>
      <c r="T16" s="54">
        <f t="shared" si="26"/>
        <v>0.0407910042652191</v>
      </c>
      <c r="U16" s="53">
        <f>VLOOKUP($A16,[3]基础指标!$Y$2:$AI$17,9,0)</f>
        <v>30.02</v>
      </c>
      <c r="V16" s="53">
        <f>VLOOKUP($A16,[3]基础指标!$Y$2:$AI$17,10,0)</f>
        <v>2.83</v>
      </c>
      <c r="W16" s="55">
        <f t="shared" si="10"/>
        <v>0.0942704863424384</v>
      </c>
      <c r="X16" s="56">
        <f t="shared" si="27"/>
        <v>-1.778</v>
      </c>
      <c r="Y16" s="55">
        <f t="shared" si="28"/>
        <v>-0.0534794820772193</v>
      </c>
      <c r="Z16" s="53">
        <f t="shared" si="29"/>
        <v>460.18</v>
      </c>
      <c r="AA16" s="53">
        <f t="shared" si="30"/>
        <v>213.672</v>
      </c>
      <c r="AB16" s="54">
        <f t="shared" si="31"/>
        <v>0.464322656351862</v>
      </c>
      <c r="AC16" s="53">
        <f t="shared" si="32"/>
        <v>414</v>
      </c>
      <c r="AD16" s="53">
        <f t="shared" si="33"/>
        <v>181.08</v>
      </c>
      <c r="AE16" s="55">
        <f t="shared" si="17"/>
        <v>0.437391304347826</v>
      </c>
      <c r="AF16" s="56">
        <f t="shared" si="34"/>
        <v>32.592</v>
      </c>
      <c r="AG16" s="55">
        <f t="shared" si="35"/>
        <v>0.0269313520040364</v>
      </c>
      <c r="AH16" s="53">
        <v>333.0077</v>
      </c>
      <c r="AI16" s="38">
        <f t="shared" si="20"/>
        <v>0.641642820871709</v>
      </c>
      <c r="AJ16" s="57" t="s">
        <v>84</v>
      </c>
    </row>
    <row r="17" ht="37" customHeight="1" spans="1:36">
      <c r="A17" s="52" t="s">
        <v>27</v>
      </c>
      <c r="B17" s="53">
        <f>VLOOKUP($A17,[2]基础指标!$AB$2:$AL$17,3,0)</f>
        <v>2110.03</v>
      </c>
      <c r="C17" s="53">
        <f>VLOOKUP($A17,[2]基础指标!$AB$2:$AL$17,4,0)</f>
        <v>787.8</v>
      </c>
      <c r="D17" s="54">
        <f t="shared" si="21"/>
        <v>0.37335962047933</v>
      </c>
      <c r="E17" s="53">
        <f>VLOOKUP($A17,[3]基础指标!$Y$2:$AI$17,3,0)</f>
        <v>2047.58</v>
      </c>
      <c r="F17" s="53">
        <f>VLOOKUP($A17,[3]基础指标!$Y$2:$AI$17,4,0)</f>
        <v>831.66</v>
      </c>
      <c r="G17" s="55">
        <f t="shared" si="4"/>
        <v>0.406167280399301</v>
      </c>
      <c r="H17" s="56">
        <f t="shared" si="22"/>
        <v>-43.86</v>
      </c>
      <c r="I17" s="55">
        <f t="shared" si="6"/>
        <v>-0.0328076599199714</v>
      </c>
      <c r="J17" s="53">
        <f>VLOOKUP($A17,[2]基础指标!$AB$2:$AL$17,6,0)</f>
        <v>1242.75</v>
      </c>
      <c r="K17" s="53">
        <f>VLOOKUP($A17,[2]基础指标!$AB$2:$AL$17,7,0)</f>
        <v>107.83</v>
      </c>
      <c r="L17" s="54">
        <f t="shared" si="23"/>
        <v>0.0867672500502917</v>
      </c>
      <c r="M17" s="53">
        <f>VLOOKUP($A17,[3]基础指标!$Y$2:$AI$17,6,0)</f>
        <v>1075.15</v>
      </c>
      <c r="N17" s="53">
        <f>VLOOKUP($A17,[3]基础指标!$Y$2:$AI$17,7,0)</f>
        <v>122.87</v>
      </c>
      <c r="O17" s="55">
        <f t="shared" si="7"/>
        <v>0.114281728130958</v>
      </c>
      <c r="P17" s="56">
        <f t="shared" si="24"/>
        <v>-15.04</v>
      </c>
      <c r="Q17" s="55">
        <f t="shared" si="25"/>
        <v>-0.0275144780806668</v>
      </c>
      <c r="R17" s="53">
        <f>VLOOKUP($A17,[2]基础指标!$AB$2:$AL$17,9,0)</f>
        <v>906.02</v>
      </c>
      <c r="S17" s="53">
        <f>VLOOKUP($A17,[2]基础指标!$AB$2:$AL$17,10,0)</f>
        <v>38.88</v>
      </c>
      <c r="T17" s="54">
        <f t="shared" si="26"/>
        <v>0.0429129599788084</v>
      </c>
      <c r="U17" s="53">
        <f>VLOOKUP($A17,[3]基础指标!$Y$2:$AI$17,9,0)</f>
        <v>723.26</v>
      </c>
      <c r="V17" s="53">
        <f>VLOOKUP($A17,[3]基础指标!$Y$2:$AI$17,10,0)</f>
        <v>61.85</v>
      </c>
      <c r="W17" s="55">
        <f t="shared" si="10"/>
        <v>0.085515582224926</v>
      </c>
      <c r="X17" s="56">
        <f t="shared" si="27"/>
        <v>-22.97</v>
      </c>
      <c r="Y17" s="55">
        <f t="shared" si="28"/>
        <v>-0.0426026222461176</v>
      </c>
      <c r="Z17" s="53">
        <f t="shared" si="29"/>
        <v>4258.8</v>
      </c>
      <c r="AA17" s="53">
        <f t="shared" si="30"/>
        <v>934.51</v>
      </c>
      <c r="AB17" s="54">
        <f t="shared" si="31"/>
        <v>0.219430355968817</v>
      </c>
      <c r="AC17" s="53">
        <f t="shared" si="32"/>
        <v>3845.99</v>
      </c>
      <c r="AD17" s="53">
        <f t="shared" si="33"/>
        <v>1016.38</v>
      </c>
      <c r="AE17" s="55">
        <f t="shared" si="17"/>
        <v>0.264270057904467</v>
      </c>
      <c r="AF17" s="56">
        <f t="shared" si="34"/>
        <v>-81.87</v>
      </c>
      <c r="AG17" s="55">
        <f t="shared" si="35"/>
        <v>-0.0448397019356492</v>
      </c>
      <c r="AH17" s="53">
        <v>1888.0163235</v>
      </c>
      <c r="AI17" s="38">
        <f t="shared" si="20"/>
        <v>0.494969237483926</v>
      </c>
      <c r="AJ17" s="57"/>
    </row>
    <row r="18" ht="37" customHeight="1" spans="1:36">
      <c r="A18" s="52" t="s">
        <v>25</v>
      </c>
      <c r="B18" s="53">
        <f>VLOOKUP($A18,[2]基础指标!$AB$2:$AL$17,3,0)</f>
        <v>252.145347</v>
      </c>
      <c r="C18" s="53">
        <f>VLOOKUP($A18,[2]基础指标!$AB$2:$AL$17,4,0)</f>
        <v>66.537522</v>
      </c>
      <c r="D18" s="54">
        <f t="shared" si="21"/>
        <v>0.263885583421058</v>
      </c>
      <c r="E18" s="53">
        <f>VLOOKUP($A18,[3]基础指标!$Y$2:$AI$17,3,0)</f>
        <v>235.566229</v>
      </c>
      <c r="F18" s="53">
        <f>VLOOKUP($A18,[3]基础指标!$Y$2:$AI$17,4,0)</f>
        <v>48.626346</v>
      </c>
      <c r="G18" s="55">
        <f t="shared" si="4"/>
        <v>0.206423247536046</v>
      </c>
      <c r="H18" s="56">
        <f t="shared" si="22"/>
        <v>17.911176</v>
      </c>
      <c r="I18" s="55">
        <f t="shared" si="6"/>
        <v>0.0574623358850116</v>
      </c>
      <c r="J18" s="53">
        <f>VLOOKUP($A18,[2]基础指标!$AB$2:$AL$17,6,0)</f>
        <v>192.139426</v>
      </c>
      <c r="K18" s="53">
        <f>VLOOKUP($A18,[2]基础指标!$AB$2:$AL$17,7,0)</f>
        <v>18.899042</v>
      </c>
      <c r="L18" s="54">
        <f t="shared" si="23"/>
        <v>0.0983610828524074</v>
      </c>
      <c r="M18" s="53">
        <f>VLOOKUP($A18,[3]基础指标!$Y$2:$AI$17,6,0)</f>
        <v>180.211505</v>
      </c>
      <c r="N18" s="53">
        <f>VLOOKUP($A18,[3]基础指标!$Y$2:$AI$17,7,0)</f>
        <v>13.225258</v>
      </c>
      <c r="O18" s="55">
        <f t="shared" si="7"/>
        <v>0.0733874232946448</v>
      </c>
      <c r="P18" s="56">
        <f t="shared" si="24"/>
        <v>5.673784</v>
      </c>
      <c r="Q18" s="55">
        <f t="shared" si="25"/>
        <v>0.0249736595577626</v>
      </c>
      <c r="R18" s="53">
        <f>VLOOKUP($A18,[2]基础指标!$AB$2:$AL$17,9,0)</f>
        <v>183.063743</v>
      </c>
      <c r="S18" s="53">
        <f>VLOOKUP($A18,[2]基础指标!$AB$2:$AL$17,10,0)</f>
        <v>8.725861</v>
      </c>
      <c r="T18" s="54">
        <f t="shared" si="26"/>
        <v>0.0476656975160832</v>
      </c>
      <c r="U18" s="53">
        <f>VLOOKUP($A18,[3]基础指标!$Y$2:$AI$17,9,0)</f>
        <v>156.138956</v>
      </c>
      <c r="V18" s="53">
        <f>VLOOKUP($A18,[3]基础指标!$Y$2:$AI$17,10,0)</f>
        <v>8.632615</v>
      </c>
      <c r="W18" s="55">
        <f t="shared" si="10"/>
        <v>0.0552880281843309</v>
      </c>
      <c r="X18" s="56">
        <f t="shared" si="27"/>
        <v>0.0932459999999988</v>
      </c>
      <c r="Y18" s="55">
        <f t="shared" si="28"/>
        <v>-0.00762233066824766</v>
      </c>
      <c r="Z18" s="53">
        <f t="shared" si="29"/>
        <v>627.348516</v>
      </c>
      <c r="AA18" s="53">
        <f t="shared" si="30"/>
        <v>94.162425</v>
      </c>
      <c r="AB18" s="54">
        <f t="shared" si="31"/>
        <v>0.150095875894285</v>
      </c>
      <c r="AC18" s="53">
        <f t="shared" si="32"/>
        <v>571.91669</v>
      </c>
      <c r="AD18" s="53">
        <f t="shared" si="33"/>
        <v>70.484219</v>
      </c>
      <c r="AE18" s="55">
        <f t="shared" si="17"/>
        <v>0.123242108916248</v>
      </c>
      <c r="AF18" s="56">
        <f t="shared" si="34"/>
        <v>23.678206</v>
      </c>
      <c r="AG18" s="55">
        <f t="shared" si="35"/>
        <v>0.0268537669780373</v>
      </c>
      <c r="AH18" s="53">
        <v>214.38633226</v>
      </c>
      <c r="AI18" s="38">
        <f t="shared" si="20"/>
        <v>0.439218414753247</v>
      </c>
      <c r="AJ18" s="57"/>
    </row>
    <row r="19" ht="37" customHeight="1" spans="1:36">
      <c r="A19" s="52" t="s">
        <v>29</v>
      </c>
      <c r="B19" s="53">
        <f>VLOOKUP($A19,[2]基础指标!$AB$2:$AL$17,3,0)</f>
        <v>538.280928</v>
      </c>
      <c r="C19" s="53">
        <f>VLOOKUP($A19,[2]基础指标!$AB$2:$AL$17,4,0)</f>
        <v>161.391206</v>
      </c>
      <c r="D19" s="54">
        <f t="shared" si="21"/>
        <v>0.299827093260863</v>
      </c>
      <c r="E19" s="53">
        <f>VLOOKUP($A19,[3]基础指标!$Y$2:$AI$17,3,0)</f>
        <v>575.2518</v>
      </c>
      <c r="F19" s="53">
        <f>VLOOKUP($A19,[3]基础指标!$Y$2:$AI$17,4,0)</f>
        <v>167.602944</v>
      </c>
      <c r="G19" s="55">
        <f t="shared" si="4"/>
        <v>0.291355792367794</v>
      </c>
      <c r="H19" s="56">
        <f t="shared" si="22"/>
        <v>-6.211738</v>
      </c>
      <c r="I19" s="55">
        <f t="shared" si="6"/>
        <v>0.00847130089306919</v>
      </c>
      <c r="J19" s="53">
        <f>VLOOKUP($A19,[2]基础指标!$AB$2:$AL$17,6,0)</f>
        <v>323.413429</v>
      </c>
      <c r="K19" s="53">
        <f>VLOOKUP($A19,[2]基础指标!$AB$2:$AL$17,7,0)</f>
        <v>25.475349</v>
      </c>
      <c r="L19" s="54">
        <f t="shared" si="23"/>
        <v>0.0787702263284806</v>
      </c>
      <c r="M19" s="53">
        <f>VLOOKUP($A19,[3]基础指标!$Y$2:$AI$17,6,0)</f>
        <v>340.686844</v>
      </c>
      <c r="N19" s="53">
        <f>VLOOKUP($A19,[3]基础指标!$Y$2:$AI$17,7,0)</f>
        <v>33.42944</v>
      </c>
      <c r="O19" s="55">
        <f t="shared" si="7"/>
        <v>0.0981236598616646</v>
      </c>
      <c r="P19" s="56">
        <f t="shared" si="24"/>
        <v>-7.954091</v>
      </c>
      <c r="Q19" s="55">
        <f t="shared" si="25"/>
        <v>-0.019353433533184</v>
      </c>
      <c r="R19" s="53">
        <f>VLOOKUP($A19,[2]基础指标!$AB$2:$AL$17,9,0)</f>
        <v>301.939863</v>
      </c>
      <c r="S19" s="53">
        <f>VLOOKUP($A19,[2]基础指标!$AB$2:$AL$17,10,0)</f>
        <v>9.980609</v>
      </c>
      <c r="T19" s="54">
        <f t="shared" si="26"/>
        <v>0.0330549563771909</v>
      </c>
      <c r="U19" s="53">
        <f>VLOOKUP($A19,[3]基础指标!$Y$2:$AI$17,9,0)</f>
        <v>307.69675</v>
      </c>
      <c r="V19" s="53">
        <f>VLOOKUP($A19,[3]基础指标!$Y$2:$AI$17,10,0)</f>
        <v>18.756808</v>
      </c>
      <c r="W19" s="55">
        <f t="shared" si="10"/>
        <v>0.060958745908106</v>
      </c>
      <c r="X19" s="56">
        <f t="shared" si="27"/>
        <v>-8.776199</v>
      </c>
      <c r="Y19" s="55">
        <f t="shared" si="28"/>
        <v>-0.0279037895309151</v>
      </c>
      <c r="Z19" s="53">
        <f t="shared" si="29"/>
        <v>1163.63422</v>
      </c>
      <c r="AA19" s="53">
        <f t="shared" si="30"/>
        <v>196.847164</v>
      </c>
      <c r="AB19" s="54">
        <f t="shared" si="31"/>
        <v>0.169165843197702</v>
      </c>
      <c r="AC19" s="53">
        <f t="shared" si="32"/>
        <v>1223.635394</v>
      </c>
      <c r="AD19" s="53">
        <f t="shared" si="33"/>
        <v>219.789192</v>
      </c>
      <c r="AE19" s="55">
        <f t="shared" si="17"/>
        <v>0.17961983862</v>
      </c>
      <c r="AF19" s="56">
        <f t="shared" si="34"/>
        <v>-22.942028</v>
      </c>
      <c r="AG19" s="55">
        <f t="shared" si="35"/>
        <v>-0.0104539954222982</v>
      </c>
      <c r="AH19" s="53">
        <v>481.87324511</v>
      </c>
      <c r="AI19" s="38">
        <f t="shared" si="20"/>
        <v>0.408504032953862</v>
      </c>
      <c r="AJ19" s="57"/>
    </row>
    <row r="20" s="10" customFormat="1" ht="37" customHeight="1" spans="1:36">
      <c r="A20" s="60" t="s">
        <v>23</v>
      </c>
      <c r="B20" s="61">
        <f>SUM(B14:B19)</f>
        <v>5216.794198</v>
      </c>
      <c r="C20" s="61">
        <f>SUM(C14:C19)</f>
        <v>2369.216816</v>
      </c>
      <c r="D20" s="62">
        <f>C20/B20</f>
        <v>0.454151865317651</v>
      </c>
      <c r="E20" s="61">
        <f>SUM(E14:E19)</f>
        <v>5135.823435</v>
      </c>
      <c r="F20" s="61">
        <f>SUM(F14:F19)</f>
        <v>2418.453977</v>
      </c>
      <c r="G20" s="62">
        <f t="shared" si="4"/>
        <v>0.470898972211259</v>
      </c>
      <c r="H20" s="61">
        <f>SUM(H14:H19)</f>
        <v>-49.2371609999999</v>
      </c>
      <c r="I20" s="62">
        <f t="shared" si="6"/>
        <v>-0.016747106893608</v>
      </c>
      <c r="J20" s="61">
        <f>SUM(J14:J19)</f>
        <v>2419.640154</v>
      </c>
      <c r="K20" s="61">
        <f>SUM(K14:K19)</f>
        <v>280.609503</v>
      </c>
      <c r="L20" s="62">
        <f>K20/J20</f>
        <v>0.115971584673909</v>
      </c>
      <c r="M20" s="61">
        <f>SUM(M14:M19)</f>
        <v>2180.457519</v>
      </c>
      <c r="N20" s="61">
        <f>SUM(N14:N19)</f>
        <v>302.122076</v>
      </c>
      <c r="O20" s="62">
        <f t="shared" si="7"/>
        <v>0.138559028720981</v>
      </c>
      <c r="P20" s="61">
        <f>SUM(P14:P19)</f>
        <v>-21.512573</v>
      </c>
      <c r="Q20" s="62">
        <f>L20-O20</f>
        <v>-0.0225874440470725</v>
      </c>
      <c r="R20" s="61">
        <f>SUM(R14:R19)</f>
        <v>1615.93469</v>
      </c>
      <c r="S20" s="61">
        <f>SUM(S14:S19)</f>
        <v>84.548214</v>
      </c>
      <c r="T20" s="62">
        <f>S20/R20</f>
        <v>0.0523215539113156</v>
      </c>
      <c r="U20" s="61">
        <f>SUM(U14:U19)</f>
        <v>1421.580452</v>
      </c>
      <c r="V20" s="61">
        <f>SUM(V14:V19)</f>
        <v>123.466257</v>
      </c>
      <c r="W20" s="62">
        <f t="shared" si="10"/>
        <v>0.0868514031874152</v>
      </c>
      <c r="X20" s="61">
        <f>SUM(X14:X19)</f>
        <v>-38.918043</v>
      </c>
      <c r="Y20" s="62">
        <f>T20-W20</f>
        <v>-0.0345298492760997</v>
      </c>
      <c r="Z20" s="61">
        <f>SUM(Z14:Z19)</f>
        <v>9252.369042</v>
      </c>
      <c r="AA20" s="61">
        <f>SUM(AA14:AA19)</f>
        <v>2734.374533</v>
      </c>
      <c r="AB20" s="62">
        <f>AA20/Z20</f>
        <v>0.29553236804408</v>
      </c>
      <c r="AC20" s="61">
        <f>SUM(AC14:AC19)</f>
        <v>8737.861406</v>
      </c>
      <c r="AD20" s="61">
        <f>SUM(AD14:AD19)</f>
        <v>2844.04231</v>
      </c>
      <c r="AE20" s="62">
        <f t="shared" si="17"/>
        <v>0.325484941663997</v>
      </c>
      <c r="AF20" s="61">
        <f>SUM(AF14:AF19)</f>
        <v>-109.667777</v>
      </c>
      <c r="AG20" s="62">
        <f>AB20-AE20</f>
        <v>-0.0299525736199165</v>
      </c>
      <c r="AH20" s="61">
        <f>SUM(AH14:AH19)</f>
        <v>4746.62155181</v>
      </c>
      <c r="AI20" s="62">
        <f t="shared" si="20"/>
        <v>0.576067525745194</v>
      </c>
      <c r="AJ20" s="57"/>
    </row>
    <row r="21" ht="37" customHeight="1" spans="1:36">
      <c r="A21" s="60" t="s">
        <v>32</v>
      </c>
      <c r="B21" s="61">
        <f>B20+B13</f>
        <v>11442.274504</v>
      </c>
      <c r="C21" s="61">
        <f>C20+C13</f>
        <v>4234.88519</v>
      </c>
      <c r="D21" s="62">
        <f>C21/B21</f>
        <v>0.370108686740522</v>
      </c>
      <c r="E21" s="61">
        <f>E20+E13</f>
        <v>9899.460013</v>
      </c>
      <c r="F21" s="61">
        <f>F20+F13</f>
        <v>3906.099623</v>
      </c>
      <c r="G21" s="62">
        <f t="shared" si="4"/>
        <v>0.39457703934058</v>
      </c>
      <c r="H21" s="61">
        <f>H20+H13</f>
        <v>328.785567</v>
      </c>
      <c r="I21" s="62">
        <f t="shared" si="6"/>
        <v>-0.024468352600058</v>
      </c>
      <c r="J21" s="61">
        <f>J20+J13</f>
        <v>4949.144741</v>
      </c>
      <c r="K21" s="61">
        <f>K20+K13</f>
        <v>564.433581</v>
      </c>
      <c r="L21" s="62">
        <f>K21/J21</f>
        <v>0.114046691001798</v>
      </c>
      <c r="M21" s="61">
        <f>M20+M13</f>
        <v>4215.050565</v>
      </c>
      <c r="N21" s="61">
        <f>N20+N13</f>
        <v>517.227874</v>
      </c>
      <c r="O21" s="62">
        <f t="shared" si="7"/>
        <v>0.122709767302637</v>
      </c>
      <c r="P21" s="61">
        <f>P20+P13</f>
        <v>47.205707</v>
      </c>
      <c r="Q21" s="62">
        <f>L21-O21</f>
        <v>-0.0086630763008394</v>
      </c>
      <c r="R21" s="61">
        <f>R20+R13</f>
        <v>3569.398314</v>
      </c>
      <c r="S21" s="61">
        <f>S20+S13</f>
        <v>201.619494</v>
      </c>
      <c r="T21" s="62">
        <f>S21/R21</f>
        <v>0.0564855687887793</v>
      </c>
      <c r="U21" s="61">
        <f>U20+U13</f>
        <v>3617.886294</v>
      </c>
      <c r="V21" s="61">
        <f>V20+V13</f>
        <v>251.6605</v>
      </c>
      <c r="W21" s="62">
        <f t="shared" si="10"/>
        <v>0.0695600910446966</v>
      </c>
      <c r="X21" s="61">
        <f>X20+X13</f>
        <v>-50.041006</v>
      </c>
      <c r="Y21" s="62">
        <f>T21-W21</f>
        <v>-0.0130745222559173</v>
      </c>
      <c r="Z21" s="61">
        <f>Z20+Z13</f>
        <v>19960.817559</v>
      </c>
      <c r="AA21" s="61">
        <f>AA20+AA13</f>
        <v>5000.938265</v>
      </c>
      <c r="AB21" s="62">
        <f>AA21/Z21</f>
        <v>0.250537747275044</v>
      </c>
      <c r="AC21" s="61">
        <f>AC20+AC13</f>
        <v>17732.396872</v>
      </c>
      <c r="AD21" s="61">
        <f>AD20+AD13</f>
        <v>4674.987997</v>
      </c>
      <c r="AE21" s="62">
        <f t="shared" si="17"/>
        <v>0.263641065037403</v>
      </c>
      <c r="AF21" s="61">
        <f>AF20+AF13</f>
        <v>325.950268</v>
      </c>
      <c r="AG21" s="62">
        <f>AB21-AE21</f>
        <v>-0.0131033177623596</v>
      </c>
      <c r="AH21" s="61">
        <f>AH20+AH13</f>
        <v>10000.888385467</v>
      </c>
      <c r="AI21" s="62">
        <f t="shared" si="20"/>
        <v>0.500049402837774</v>
      </c>
      <c r="AJ21" s="57"/>
    </row>
    <row r="22" ht="29" customHeight="1" spans="1:36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64"/>
    </row>
    <row r="23" customHeight="1" spans="1:36">
      <c r="A23" s="41" t="s">
        <v>85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="10" customFormat="1" customHeight="1" spans="1:36">
      <c r="A24" s="12" t="s">
        <v>71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34"/>
      <c r="AI24" s="1"/>
      <c r="AJ24" s="1"/>
    </row>
    <row r="25" ht="30" customHeight="1" spans="1:36">
      <c r="A25" s="42" t="s">
        <v>1</v>
      </c>
      <c r="B25" s="14" t="s">
        <v>72</v>
      </c>
      <c r="C25" s="14"/>
      <c r="D25" s="14"/>
      <c r="E25" s="14"/>
      <c r="F25" s="14"/>
      <c r="G25" s="14"/>
      <c r="H25" s="14"/>
      <c r="I25" s="14"/>
      <c r="J25" s="14" t="s">
        <v>73</v>
      </c>
      <c r="K25" s="14"/>
      <c r="L25" s="14"/>
      <c r="M25" s="14"/>
      <c r="N25" s="14"/>
      <c r="O25" s="14"/>
      <c r="P25" s="14"/>
      <c r="Q25" s="14"/>
      <c r="R25" s="14" t="s">
        <v>74</v>
      </c>
      <c r="S25" s="14"/>
      <c r="T25" s="14"/>
      <c r="U25" s="14"/>
      <c r="V25" s="14"/>
      <c r="W25" s="14"/>
      <c r="X25" s="14"/>
      <c r="Y25" s="14"/>
      <c r="Z25" s="14" t="s">
        <v>32</v>
      </c>
      <c r="AA25" s="14"/>
      <c r="AB25" s="14"/>
      <c r="AC25" s="14"/>
      <c r="AD25" s="14"/>
      <c r="AE25" s="14"/>
      <c r="AF25" s="14"/>
      <c r="AG25" s="14"/>
      <c r="AH25" s="14"/>
      <c r="AI25" s="14"/>
      <c r="AJ25" s="43" t="s">
        <v>13</v>
      </c>
    </row>
    <row r="26" ht="30" customHeight="1" spans="1:36">
      <c r="A26" s="44"/>
      <c r="B26" s="22" t="s">
        <v>43</v>
      </c>
      <c r="C26" s="23"/>
      <c r="D26" s="24"/>
      <c r="E26" s="22" t="s">
        <v>44</v>
      </c>
      <c r="F26" s="23"/>
      <c r="G26" s="24"/>
      <c r="H26" s="15" t="s">
        <v>45</v>
      </c>
      <c r="I26" s="15"/>
      <c r="J26" s="22" t="s">
        <v>43</v>
      </c>
      <c r="K26" s="23"/>
      <c r="L26" s="24"/>
      <c r="M26" s="22" t="s">
        <v>44</v>
      </c>
      <c r="N26" s="23"/>
      <c r="O26" s="24"/>
      <c r="P26" s="15" t="s">
        <v>45</v>
      </c>
      <c r="Q26" s="15"/>
      <c r="R26" s="22" t="s">
        <v>43</v>
      </c>
      <c r="S26" s="23"/>
      <c r="T26" s="24"/>
      <c r="U26" s="22" t="s">
        <v>44</v>
      </c>
      <c r="V26" s="23"/>
      <c r="W26" s="24"/>
      <c r="X26" s="15" t="s">
        <v>45</v>
      </c>
      <c r="Y26" s="15"/>
      <c r="Z26" s="14" t="s">
        <v>43</v>
      </c>
      <c r="AA26" s="14"/>
      <c r="AB26" s="14"/>
      <c r="AC26" s="14" t="s">
        <v>44</v>
      </c>
      <c r="AD26" s="14"/>
      <c r="AE26" s="14"/>
      <c r="AF26" s="15" t="s">
        <v>45</v>
      </c>
      <c r="AG26" s="15"/>
      <c r="AH26" s="45" t="s">
        <v>75</v>
      </c>
      <c r="AI26" s="46" t="s">
        <v>76</v>
      </c>
      <c r="AJ26" s="47"/>
    </row>
    <row r="27" ht="30" customHeight="1" spans="1:36">
      <c r="A27" s="48"/>
      <c r="B27" s="14" t="s">
        <v>46</v>
      </c>
      <c r="C27" s="14" t="s">
        <v>47</v>
      </c>
      <c r="D27" s="14" t="s">
        <v>77</v>
      </c>
      <c r="E27" s="14" t="s">
        <v>46</v>
      </c>
      <c r="F27" s="14" t="s">
        <v>47</v>
      </c>
      <c r="G27" s="14" t="s">
        <v>77</v>
      </c>
      <c r="H27" s="15" t="s">
        <v>47</v>
      </c>
      <c r="I27" s="15" t="s">
        <v>77</v>
      </c>
      <c r="J27" s="14" t="s">
        <v>46</v>
      </c>
      <c r="K27" s="14" t="s">
        <v>47</v>
      </c>
      <c r="L27" s="14" t="s">
        <v>77</v>
      </c>
      <c r="M27" s="14" t="s">
        <v>46</v>
      </c>
      <c r="N27" s="14" t="s">
        <v>47</v>
      </c>
      <c r="O27" s="14" t="s">
        <v>77</v>
      </c>
      <c r="P27" s="15" t="s">
        <v>47</v>
      </c>
      <c r="Q27" s="15" t="s">
        <v>77</v>
      </c>
      <c r="R27" s="14" t="s">
        <v>46</v>
      </c>
      <c r="S27" s="14" t="s">
        <v>47</v>
      </c>
      <c r="T27" s="14" t="s">
        <v>77</v>
      </c>
      <c r="U27" s="14" t="s">
        <v>46</v>
      </c>
      <c r="V27" s="14" t="s">
        <v>47</v>
      </c>
      <c r="W27" s="14" t="s">
        <v>77</v>
      </c>
      <c r="X27" s="15" t="s">
        <v>47</v>
      </c>
      <c r="Y27" s="15" t="s">
        <v>77</v>
      </c>
      <c r="Z27" s="14" t="s">
        <v>46</v>
      </c>
      <c r="AA27" s="14" t="s">
        <v>47</v>
      </c>
      <c r="AB27" s="14" t="s">
        <v>77</v>
      </c>
      <c r="AC27" s="14" t="s">
        <v>46</v>
      </c>
      <c r="AD27" s="14" t="s">
        <v>47</v>
      </c>
      <c r="AE27" s="14" t="s">
        <v>77</v>
      </c>
      <c r="AF27" s="15" t="s">
        <v>47</v>
      </c>
      <c r="AG27" s="15" t="s">
        <v>77</v>
      </c>
      <c r="AH27" s="49"/>
      <c r="AI27" s="50"/>
      <c r="AJ27" s="51"/>
    </row>
    <row r="28" ht="36" customHeight="1" spans="1:36">
      <c r="A28" s="52" t="s">
        <v>14</v>
      </c>
      <c r="B28" s="53">
        <f>VLOOKUP($A28,[2]基础指标!$AB$21:$AL$36,3,0)</f>
        <v>202.063478</v>
      </c>
      <c r="C28" s="53">
        <f>VLOOKUP($A28,[2]基础指标!$AB$21:$AL$36,4,0)</f>
        <v>135.165284</v>
      </c>
      <c r="D28" s="54">
        <f t="shared" ref="D28:D34" si="36">IF(B28&gt;0,C28/B28,"——")</f>
        <v>0.668924861325014</v>
      </c>
      <c r="E28" s="53">
        <f>VLOOKUP($A28,[3]基础指标!$Y$21:$AI$36,3,0)</f>
        <v>389.465245</v>
      </c>
      <c r="F28" s="53">
        <f>VLOOKUP($A28,[3]基础指标!$Y$21:$AI$36,4,0)</f>
        <v>159.484921</v>
      </c>
      <c r="G28" s="54">
        <f t="shared" ref="G28:G34" si="37">IF(E28&gt;0,F28/E28,"——")</f>
        <v>0.409497183760261</v>
      </c>
      <c r="H28" s="56">
        <f>C28-F28</f>
        <v>-24.319637</v>
      </c>
      <c r="I28" s="55">
        <f>D28-G28</f>
        <v>0.259427677564753</v>
      </c>
      <c r="J28" s="53">
        <f>VLOOKUP($A28,[2]基础指标!$AB$21:$AL$36,6,0)</f>
        <v>33.769442</v>
      </c>
      <c r="K28" s="53">
        <f>VLOOKUP($A28,[2]基础指标!$AB$21:$AL$36,7,0)</f>
        <v>6.685787</v>
      </c>
      <c r="L28" s="54">
        <f t="shared" ref="L28:L34" si="38">IF(J28&gt;0,K28/J28,"——")</f>
        <v>0.197983342454992</v>
      </c>
      <c r="M28" s="53">
        <f>VLOOKUP($A28,[3]基础指标!$Y$21:$AI$36,6,0)</f>
        <v>14.164628</v>
      </c>
      <c r="N28" s="53">
        <f>VLOOKUP($A28,[3]基础指标!$Y$21:$AI$36,7,0)</f>
        <v>1.892335</v>
      </c>
      <c r="O28" s="54">
        <f t="shared" ref="O28:O34" si="39">IF(M28&gt;0,N28/M28,"——")</f>
        <v>0.133595813458709</v>
      </c>
      <c r="P28" s="56">
        <f>K28-N28</f>
        <v>4.793452</v>
      </c>
      <c r="Q28" s="55">
        <f>(K28/J28)-(N28/M28)</f>
        <v>0.0643875289962837</v>
      </c>
      <c r="R28" s="53">
        <f>VLOOKUP($A28,[2]基础指标!$AB$21:$AL$36,9,0)</f>
        <v>0</v>
      </c>
      <c r="S28" s="53">
        <f>VLOOKUP($A28,[2]基础指标!$AB$21:$AL$36,10,0)</f>
        <v>0</v>
      </c>
      <c r="T28" s="54" t="str">
        <f t="shared" ref="T28:T34" si="40">IF(R28&gt;0,S28/R28,"——")</f>
        <v>——</v>
      </c>
      <c r="U28" s="53">
        <f>VLOOKUP($A28,[3]基础指标!$Y$21:$AI$36,9,0)</f>
        <v>0</v>
      </c>
      <c r="V28" s="53">
        <f>VLOOKUP($A28,[3]基础指标!$Y$21:$AI$36,10,0)</f>
        <v>0</v>
      </c>
      <c r="W28" s="54" t="str">
        <f t="shared" ref="W28:W34" si="41">IF(U28&gt;0,V28/U28,"——")</f>
        <v>——</v>
      </c>
      <c r="X28" s="56">
        <f>S28-V28</f>
        <v>0</v>
      </c>
      <c r="Y28" s="55" t="s">
        <v>64</v>
      </c>
      <c r="Z28" s="53">
        <f>B28+J28+R28</f>
        <v>235.83292</v>
      </c>
      <c r="AA28" s="53">
        <f>C28+K28+S28</f>
        <v>141.851071</v>
      </c>
      <c r="AB28" s="54">
        <f t="shared" ref="AB28:AB34" si="42">IF(Z28&gt;0,AA28/Z28,"——")</f>
        <v>0.601489694483705</v>
      </c>
      <c r="AC28" s="53">
        <f>E28+M28+U28</f>
        <v>403.629873</v>
      </c>
      <c r="AD28" s="53">
        <f>F28+N28+V28</f>
        <v>161.377256</v>
      </c>
      <c r="AE28" s="54">
        <f t="shared" ref="AE28:AE34" si="43">IF(AC28&gt;0,AD28/AC28,"——")</f>
        <v>0.399814946303541</v>
      </c>
      <c r="AF28" s="56">
        <f>AA28-AD28</f>
        <v>-19.526185</v>
      </c>
      <c r="AG28" s="55">
        <f>(AA28/Z28)-(AD28/AC28)</f>
        <v>0.201674748180164</v>
      </c>
      <c r="AH28" s="53">
        <v>106.05955882</v>
      </c>
      <c r="AI28" s="65">
        <f>AA28/AH28</f>
        <v>1.33746616126081</v>
      </c>
      <c r="AJ28" s="57"/>
    </row>
    <row r="29" ht="36" customHeight="1" spans="1:36">
      <c r="A29" s="52" t="s">
        <v>15</v>
      </c>
      <c r="B29" s="53">
        <f>VLOOKUP($A29,[2]基础指标!$AB$21:$AL$36,3,0)</f>
        <v>852.531957</v>
      </c>
      <c r="C29" s="53">
        <f>VLOOKUP($A29,[2]基础指标!$AB$21:$AL$36,4,0)</f>
        <v>259.604981</v>
      </c>
      <c r="D29" s="54">
        <f t="shared" si="36"/>
        <v>0.30451055689869</v>
      </c>
      <c r="E29" s="53">
        <f>VLOOKUP($A29,[3]基础指标!$Y$21:$AI$36,3,0)</f>
        <v>916.379341</v>
      </c>
      <c r="F29" s="53">
        <f>VLOOKUP($A29,[3]基础指标!$Y$21:$AI$36,4,0)</f>
        <v>237.319971</v>
      </c>
      <c r="G29" s="54">
        <f t="shared" si="37"/>
        <v>0.258975688759007</v>
      </c>
      <c r="H29" s="56">
        <f t="shared" ref="H28:H34" si="44">C29-F29</f>
        <v>22.28501</v>
      </c>
      <c r="I29" s="55">
        <f t="shared" ref="I28:I43" si="45">D29-G29</f>
        <v>0.0455348681396829</v>
      </c>
      <c r="J29" s="53">
        <f>VLOOKUP($A29,[2]基础指标!$AB$21:$AL$36,6,0)</f>
        <v>604.336373</v>
      </c>
      <c r="K29" s="53">
        <f>VLOOKUP($A29,[2]基础指标!$AB$21:$AL$36,7,0)</f>
        <v>57.530853</v>
      </c>
      <c r="L29" s="54">
        <f t="shared" si="38"/>
        <v>0.0951967407065204</v>
      </c>
      <c r="M29" s="53">
        <f>VLOOKUP($A29,[3]基础指标!$Y$21:$AI$36,6,0)</f>
        <v>630.941497</v>
      </c>
      <c r="N29" s="53">
        <f>VLOOKUP($A29,[3]基础指标!$Y$21:$AI$36,7,0)</f>
        <v>62.364382</v>
      </c>
      <c r="O29" s="54">
        <f t="shared" si="39"/>
        <v>0.0988433670895481</v>
      </c>
      <c r="P29" s="56">
        <f t="shared" ref="P28:P34" si="46">K29-N29</f>
        <v>-4.83352900000001</v>
      </c>
      <c r="Q29" s="55">
        <f t="shared" ref="Q28:Q34" si="47">(K29/J29)-(N29/M29)</f>
        <v>-0.00364662638302769</v>
      </c>
      <c r="R29" s="53">
        <f>VLOOKUP($A29,[2]基础指标!$AB$21:$AL$36,9,0)</f>
        <v>334.388011</v>
      </c>
      <c r="S29" s="53">
        <f>VLOOKUP($A29,[2]基础指标!$AB$21:$AL$36,10,0)</f>
        <v>8.41669</v>
      </c>
      <c r="T29" s="54">
        <f t="shared" si="40"/>
        <v>0.0251704299290802</v>
      </c>
      <c r="U29" s="53">
        <f>VLOOKUP($A29,[3]基础指标!$Y$21:$AI$36,9,0)</f>
        <v>256.109955</v>
      </c>
      <c r="V29" s="53">
        <f>VLOOKUP($A29,[3]基础指标!$Y$21:$AI$36,10,0)</f>
        <v>15.706511</v>
      </c>
      <c r="W29" s="54">
        <f t="shared" si="41"/>
        <v>0.0613272178350115</v>
      </c>
      <c r="X29" s="56">
        <f t="shared" ref="X28:X34" si="48">S29-V29</f>
        <v>-7.289821</v>
      </c>
      <c r="Y29" s="55">
        <f t="shared" ref="Y28:Y34" si="49">(S29/R29)-(V29/U29)</f>
        <v>-0.0361567879059313</v>
      </c>
      <c r="Z29" s="53">
        <f t="shared" ref="Z28:Z34" si="50">B29+J29+R29</f>
        <v>1791.256341</v>
      </c>
      <c r="AA29" s="53">
        <f t="shared" ref="AA28:AA34" si="51">C29+K29+S29</f>
        <v>325.552524</v>
      </c>
      <c r="AB29" s="54">
        <f t="shared" si="42"/>
        <v>0.181745357461375</v>
      </c>
      <c r="AC29" s="53">
        <f t="shared" ref="AC28:AC34" si="52">E29+M29+U29</f>
        <v>1803.430793</v>
      </c>
      <c r="AD29" s="53">
        <f t="shared" ref="AD28:AD34" si="53">F29+N29+V29</f>
        <v>315.390864</v>
      </c>
      <c r="AE29" s="54">
        <f t="shared" si="43"/>
        <v>0.17488381878816</v>
      </c>
      <c r="AF29" s="56">
        <f t="shared" ref="AF28:AF34" si="54">AA29-AD29</f>
        <v>10.16166</v>
      </c>
      <c r="AG29" s="55">
        <f t="shared" ref="AG28:AG34" si="55">(AA29/Z29)-(AD29/AC29)</f>
        <v>0.00686153867321507</v>
      </c>
      <c r="AH29" s="53">
        <v>665.818505481</v>
      </c>
      <c r="AI29" s="38">
        <f t="shared" ref="AI28:AI43" si="56">AA29/AH29</f>
        <v>0.48895084969862</v>
      </c>
      <c r="AJ29" s="66"/>
    </row>
    <row r="30" ht="36" customHeight="1" spans="1:36">
      <c r="A30" s="52" t="s">
        <v>17</v>
      </c>
      <c r="B30" s="53">
        <f>VLOOKUP($A30,[2]基础指标!$AB$21:$AL$36,3,0)</f>
        <v>436.97893</v>
      </c>
      <c r="C30" s="53">
        <f>VLOOKUP($A30,[2]基础指标!$AB$21:$AL$36,4,0)</f>
        <v>133.72</v>
      </c>
      <c r="D30" s="54">
        <f t="shared" si="36"/>
        <v>0.306010177653188</v>
      </c>
      <c r="E30" s="53">
        <f>VLOOKUP($A30,[3]基础指标!$Y$21:$AI$36,3,0)</f>
        <v>387.59</v>
      </c>
      <c r="F30" s="53">
        <f>VLOOKUP($A30,[3]基础指标!$Y$21:$AI$36,4,0)</f>
        <v>107.23</v>
      </c>
      <c r="G30" s="54">
        <f t="shared" si="37"/>
        <v>0.276658324518176</v>
      </c>
      <c r="H30" s="56">
        <f t="shared" si="44"/>
        <v>26.49</v>
      </c>
      <c r="I30" s="55">
        <f t="shared" si="45"/>
        <v>0.0293518531350115</v>
      </c>
      <c r="J30" s="53">
        <f>VLOOKUP($A30,[2]基础指标!$AB$21:$AL$36,6,0)</f>
        <v>229.205172</v>
      </c>
      <c r="K30" s="53">
        <f>VLOOKUP($A30,[2]基础指标!$AB$21:$AL$36,7,0)</f>
        <v>31.47</v>
      </c>
      <c r="L30" s="54">
        <f t="shared" si="38"/>
        <v>0.137300566673077</v>
      </c>
      <c r="M30" s="53">
        <f>VLOOKUP($A30,[3]基础指标!$Y$21:$AI$36,6,0)</f>
        <v>132.09</v>
      </c>
      <c r="N30" s="53">
        <f>VLOOKUP($A30,[3]基础指标!$Y$21:$AI$36,7,0)</f>
        <v>13.66</v>
      </c>
      <c r="O30" s="54">
        <f t="shared" si="39"/>
        <v>0.103414338708456</v>
      </c>
      <c r="P30" s="56">
        <f t="shared" si="46"/>
        <v>17.81</v>
      </c>
      <c r="Q30" s="55">
        <f t="shared" si="47"/>
        <v>0.0338862279646203</v>
      </c>
      <c r="R30" s="53">
        <f>VLOOKUP($A30,[2]基础指标!$AB$21:$AL$36,9,0)</f>
        <v>10.20912</v>
      </c>
      <c r="S30" s="53">
        <f>VLOOKUP($A30,[2]基础指标!$AB$21:$AL$36,10,0)</f>
        <v>1.47</v>
      </c>
      <c r="T30" s="54">
        <f t="shared" si="40"/>
        <v>0.143988904038742</v>
      </c>
      <c r="U30" s="53">
        <f>VLOOKUP($A30,[3]基础指标!$Y$21:$AI$36,9,0)</f>
        <v>0.2</v>
      </c>
      <c r="V30" s="53">
        <f>VLOOKUP($A30,[3]基础指标!$Y$21:$AI$36,10,0)</f>
        <v>0.05</v>
      </c>
      <c r="W30" s="54">
        <f t="shared" si="41"/>
        <v>0.25</v>
      </c>
      <c r="X30" s="56">
        <f t="shared" si="48"/>
        <v>1.42</v>
      </c>
      <c r="Y30" s="55">
        <f t="shared" si="49"/>
        <v>-0.106011095961258</v>
      </c>
      <c r="Z30" s="53">
        <f t="shared" si="50"/>
        <v>676.393222</v>
      </c>
      <c r="AA30" s="53">
        <f t="shared" si="51"/>
        <v>166.66</v>
      </c>
      <c r="AB30" s="54">
        <f t="shared" si="42"/>
        <v>0.246395136112112</v>
      </c>
      <c r="AC30" s="53">
        <f t="shared" si="52"/>
        <v>519.88</v>
      </c>
      <c r="AD30" s="53">
        <f t="shared" si="53"/>
        <v>120.94</v>
      </c>
      <c r="AE30" s="54">
        <f t="shared" si="43"/>
        <v>0.232630607063168</v>
      </c>
      <c r="AF30" s="56">
        <f t="shared" si="54"/>
        <v>45.72</v>
      </c>
      <c r="AG30" s="55">
        <f t="shared" si="55"/>
        <v>0.0137645290489436</v>
      </c>
      <c r="AH30" s="53">
        <v>363.6299174</v>
      </c>
      <c r="AI30" s="38">
        <f t="shared" si="56"/>
        <v>0.458323124762781</v>
      </c>
      <c r="AJ30" s="57"/>
    </row>
    <row r="31" ht="36" customHeight="1" spans="1:36">
      <c r="A31" s="52" t="s">
        <v>21</v>
      </c>
      <c r="B31" s="53">
        <f>VLOOKUP($A31,[2]基础指标!$AB$21:$AL$36,3,0)</f>
        <v>771.598732</v>
      </c>
      <c r="C31" s="53">
        <f>VLOOKUP($A31,[2]基础指标!$AB$21:$AL$36,4,0)</f>
        <v>123.072746</v>
      </c>
      <c r="D31" s="54">
        <f t="shared" si="36"/>
        <v>0.159503561755464</v>
      </c>
      <c r="E31" s="53">
        <f>VLOOKUP($A31,[3]基础指标!$Y$21:$AI$36,3,0)</f>
        <v>843.536233</v>
      </c>
      <c r="F31" s="53">
        <f>VLOOKUP($A31,[3]基础指标!$Y$21:$AI$36,4,0)</f>
        <v>134.879166</v>
      </c>
      <c r="G31" s="54">
        <f t="shared" si="37"/>
        <v>0.159897299870935</v>
      </c>
      <c r="H31" s="56">
        <f t="shared" si="44"/>
        <v>-11.80642</v>
      </c>
      <c r="I31" s="55">
        <f t="shared" si="45"/>
        <v>-0.000393738115470776</v>
      </c>
      <c r="J31" s="53">
        <f>VLOOKUP($A31,[2]基础指标!$AB$21:$AL$36,6,0)</f>
        <v>707.336925</v>
      </c>
      <c r="K31" s="53">
        <f>VLOOKUP($A31,[2]基础指标!$AB$21:$AL$36,7,0)</f>
        <v>27.775828</v>
      </c>
      <c r="L31" s="54">
        <f t="shared" si="38"/>
        <v>0.0392681719535566</v>
      </c>
      <c r="M31" s="53">
        <f>VLOOKUP($A31,[3]基础指标!$Y$21:$AI$36,6,0)</f>
        <v>785.608865</v>
      </c>
      <c r="N31" s="53">
        <f>VLOOKUP($A31,[3]基础指标!$Y$21:$AI$36,7,0)</f>
        <v>48.823193</v>
      </c>
      <c r="O31" s="54">
        <f t="shared" si="39"/>
        <v>0.0621469476416868</v>
      </c>
      <c r="P31" s="56">
        <f t="shared" si="46"/>
        <v>-21.047365</v>
      </c>
      <c r="Q31" s="55">
        <f t="shared" si="47"/>
        <v>-0.0228787756881302</v>
      </c>
      <c r="R31" s="53">
        <f>VLOOKUP($A31,[2]基础指标!$AB$21:$AL$36,9,0)</f>
        <v>446.885789</v>
      </c>
      <c r="S31" s="53">
        <f>VLOOKUP($A31,[2]基础指标!$AB$21:$AL$36,10,0)</f>
        <v>10.387854</v>
      </c>
      <c r="T31" s="54">
        <f t="shared" si="40"/>
        <v>0.0232449862038464</v>
      </c>
      <c r="U31" s="53">
        <f>VLOOKUP($A31,[3]基础指标!$Y$21:$AI$36,9,0)</f>
        <v>255.578367</v>
      </c>
      <c r="V31" s="53">
        <f>VLOOKUP($A31,[3]基础指标!$Y$21:$AI$36,10,0)</f>
        <v>13.372065</v>
      </c>
      <c r="W31" s="54">
        <f t="shared" si="41"/>
        <v>0.0523208014706503</v>
      </c>
      <c r="X31" s="56">
        <f t="shared" si="48"/>
        <v>-2.984211</v>
      </c>
      <c r="Y31" s="55">
        <f t="shared" si="49"/>
        <v>-0.0290758152668039</v>
      </c>
      <c r="Z31" s="53">
        <f t="shared" si="50"/>
        <v>1925.821446</v>
      </c>
      <c r="AA31" s="53">
        <f t="shared" si="51"/>
        <v>161.236428</v>
      </c>
      <c r="AB31" s="54">
        <f t="shared" si="42"/>
        <v>0.0837234564683522</v>
      </c>
      <c r="AC31" s="53">
        <f t="shared" si="52"/>
        <v>1884.723465</v>
      </c>
      <c r="AD31" s="53">
        <f t="shared" si="53"/>
        <v>197.074424</v>
      </c>
      <c r="AE31" s="54">
        <f t="shared" si="43"/>
        <v>0.104564105907176</v>
      </c>
      <c r="AF31" s="56">
        <f t="shared" si="54"/>
        <v>-35.837996</v>
      </c>
      <c r="AG31" s="55">
        <f t="shared" si="55"/>
        <v>-0.020840649438824</v>
      </c>
      <c r="AH31" s="53">
        <v>443.38577158</v>
      </c>
      <c r="AI31" s="38">
        <f t="shared" si="56"/>
        <v>0.363648178031144</v>
      </c>
      <c r="AJ31" s="66"/>
    </row>
    <row r="32" ht="36" customHeight="1" spans="1:36">
      <c r="A32" s="52" t="s">
        <v>20</v>
      </c>
      <c r="B32" s="53">
        <f>VLOOKUP($A32,[2]基础指标!$AB$21:$AL$36,3,0)</f>
        <v>862.040221</v>
      </c>
      <c r="C32" s="53">
        <f>VLOOKUP($A32,[2]基础指标!$AB$21:$AL$36,4,0)</f>
        <v>139.479428</v>
      </c>
      <c r="D32" s="54">
        <f t="shared" si="36"/>
        <v>0.161801531532019</v>
      </c>
      <c r="E32" s="53">
        <f>VLOOKUP($A32,[3]基础指标!$Y$21:$AI$36,3,0)</f>
        <v>907.843172</v>
      </c>
      <c r="F32" s="53">
        <f>VLOOKUP($A32,[3]基础指标!$Y$21:$AI$36,4,0)</f>
        <v>197.345511</v>
      </c>
      <c r="G32" s="54">
        <f t="shared" si="37"/>
        <v>0.217378416324092</v>
      </c>
      <c r="H32" s="56">
        <f t="shared" si="44"/>
        <v>-57.866083</v>
      </c>
      <c r="I32" s="55">
        <f t="shared" si="45"/>
        <v>-0.0555768847920728</v>
      </c>
      <c r="J32" s="53">
        <f>VLOOKUP($A32,[2]基础指标!$AB$21:$AL$36,6,0)</f>
        <v>567.030131</v>
      </c>
      <c r="K32" s="53">
        <f>VLOOKUP($A32,[2]基础指标!$AB$21:$AL$36,7,0)</f>
        <v>36.788132</v>
      </c>
      <c r="L32" s="54">
        <f t="shared" si="38"/>
        <v>0.0648786192986277</v>
      </c>
      <c r="M32" s="53">
        <f>VLOOKUP($A32,[3]基础指标!$Y$21:$AI$36,6,0)</f>
        <v>374.700694</v>
      </c>
      <c r="N32" s="53">
        <f>VLOOKUP($A32,[3]基础指标!$Y$21:$AI$36,7,0)</f>
        <v>31.483331</v>
      </c>
      <c r="O32" s="54">
        <f t="shared" si="39"/>
        <v>0.0840226119250262</v>
      </c>
      <c r="P32" s="56">
        <f t="shared" si="46"/>
        <v>5.304801</v>
      </c>
      <c r="Q32" s="55">
        <f t="shared" si="47"/>
        <v>-0.0191439926263985</v>
      </c>
      <c r="R32" s="53">
        <f>VLOOKUP($A32,[2]基础指标!$AB$21:$AL$36,9,0)</f>
        <v>130.757116</v>
      </c>
      <c r="S32" s="53">
        <f>VLOOKUP($A32,[2]基础指标!$AB$21:$AL$36,10,0)</f>
        <v>2.939088</v>
      </c>
      <c r="T32" s="54">
        <f t="shared" si="40"/>
        <v>0.022477461188422</v>
      </c>
      <c r="U32" s="53">
        <f>VLOOKUP($A32,[3]基础指标!$Y$21:$AI$36,9,0)</f>
        <v>103.022868</v>
      </c>
      <c r="V32" s="53">
        <f>VLOOKUP($A32,[3]基础指标!$Y$21:$AI$36,10,0)</f>
        <v>1.816924</v>
      </c>
      <c r="W32" s="54">
        <f t="shared" si="41"/>
        <v>0.0176361232731358</v>
      </c>
      <c r="X32" s="56">
        <f t="shared" si="48"/>
        <v>1.122164</v>
      </c>
      <c r="Y32" s="55">
        <f t="shared" si="49"/>
        <v>0.00484133791528622</v>
      </c>
      <c r="Z32" s="53">
        <f t="shared" si="50"/>
        <v>1559.827468</v>
      </c>
      <c r="AA32" s="53">
        <f t="shared" si="51"/>
        <v>179.206648</v>
      </c>
      <c r="AB32" s="54">
        <f t="shared" si="42"/>
        <v>0.114888762812837</v>
      </c>
      <c r="AC32" s="53">
        <f t="shared" si="52"/>
        <v>1385.566734</v>
      </c>
      <c r="AD32" s="53">
        <f t="shared" si="53"/>
        <v>230.645766</v>
      </c>
      <c r="AE32" s="54">
        <f t="shared" si="43"/>
        <v>0.166463123240659</v>
      </c>
      <c r="AF32" s="56">
        <f t="shared" si="54"/>
        <v>-51.439118</v>
      </c>
      <c r="AG32" s="55">
        <f t="shared" si="55"/>
        <v>-0.0515743604278225</v>
      </c>
      <c r="AH32" s="53">
        <v>606.3504378805</v>
      </c>
      <c r="AI32" s="38">
        <f t="shared" si="56"/>
        <v>0.29554963071589</v>
      </c>
      <c r="AJ32" s="57"/>
    </row>
    <row r="33" ht="36" customHeight="1" spans="1:36">
      <c r="A33" s="52" t="s">
        <v>19</v>
      </c>
      <c r="B33" s="53">
        <f>VLOOKUP($A33,[2]基础指标!$AB$21:$AL$36,3,0)</f>
        <v>568.317471</v>
      </c>
      <c r="C33" s="53">
        <f>VLOOKUP($A33,[2]基础指标!$AB$21:$AL$36,4,0)</f>
        <v>35.482516</v>
      </c>
      <c r="D33" s="54">
        <f t="shared" si="36"/>
        <v>0.0624343220305469</v>
      </c>
      <c r="E33" s="53">
        <f>VLOOKUP($A33,[3]基础指标!$Y$21:$AI$36,3,0)</f>
        <v>707.448031</v>
      </c>
      <c r="F33" s="53">
        <f>VLOOKUP($A33,[3]基础指标!$Y$21:$AI$36,4,0)</f>
        <v>90.664289</v>
      </c>
      <c r="G33" s="54">
        <f t="shared" si="37"/>
        <v>0.128156818631389</v>
      </c>
      <c r="H33" s="56">
        <f t="shared" si="44"/>
        <v>-55.181773</v>
      </c>
      <c r="I33" s="58">
        <f t="shared" si="45"/>
        <v>-0.0657224966008417</v>
      </c>
      <c r="J33" s="53">
        <f>VLOOKUP($A33,[2]基础指标!$AB$21:$AL$36,6,0)</f>
        <v>507.289936</v>
      </c>
      <c r="K33" s="53">
        <f>VLOOKUP($A33,[2]基础指标!$AB$21:$AL$36,7,0)</f>
        <v>30.230277</v>
      </c>
      <c r="L33" s="54">
        <f t="shared" si="38"/>
        <v>0.0595917144313306</v>
      </c>
      <c r="M33" s="53">
        <f>VLOOKUP($A33,[3]基础指标!$Y$21:$AI$36,6,0)</f>
        <v>419.221485</v>
      </c>
      <c r="N33" s="53">
        <f>VLOOKUP($A33,[3]基础指标!$Y$21:$AI$36,7,0)</f>
        <v>23.601361</v>
      </c>
      <c r="O33" s="54">
        <f t="shared" si="39"/>
        <v>0.056298071173523</v>
      </c>
      <c r="P33" s="56">
        <f t="shared" si="46"/>
        <v>6.628916</v>
      </c>
      <c r="Q33" s="55">
        <f t="shared" si="47"/>
        <v>0.00329364325780767</v>
      </c>
      <c r="R33" s="53">
        <f>VLOOKUP($A33,[2]基础指标!$AB$21:$AL$36,9,0)</f>
        <v>25.994571</v>
      </c>
      <c r="S33" s="53">
        <f>VLOOKUP($A33,[2]基础指标!$AB$21:$AL$36,10,0)</f>
        <v>0.592348</v>
      </c>
      <c r="T33" s="54">
        <f t="shared" si="40"/>
        <v>0.0227873735635029</v>
      </c>
      <c r="U33" s="53">
        <f>VLOOKUP($A33,[3]基础指标!$Y$21:$AI$36,9,0)</f>
        <v>95.620531</v>
      </c>
      <c r="V33" s="53">
        <f>VLOOKUP($A33,[3]基础指标!$Y$21:$AI$36,10,0)</f>
        <v>4.903562</v>
      </c>
      <c r="W33" s="54">
        <f t="shared" si="41"/>
        <v>0.0512814763599253</v>
      </c>
      <c r="X33" s="56">
        <f t="shared" si="48"/>
        <v>-4.311214</v>
      </c>
      <c r="Y33" s="55">
        <f t="shared" si="49"/>
        <v>-0.0284941027964223</v>
      </c>
      <c r="Z33" s="53">
        <f t="shared" si="50"/>
        <v>1101.601978</v>
      </c>
      <c r="AA33" s="53">
        <f t="shared" si="51"/>
        <v>66.305141</v>
      </c>
      <c r="AB33" s="54">
        <f t="shared" si="42"/>
        <v>0.0601897439585026</v>
      </c>
      <c r="AC33" s="53">
        <f t="shared" si="52"/>
        <v>1222.290047</v>
      </c>
      <c r="AD33" s="53">
        <f t="shared" si="53"/>
        <v>119.169212</v>
      </c>
      <c r="AE33" s="54">
        <f t="shared" si="43"/>
        <v>0.0974966721626262</v>
      </c>
      <c r="AF33" s="56">
        <f t="shared" si="54"/>
        <v>-52.864071</v>
      </c>
      <c r="AG33" s="55">
        <f t="shared" si="55"/>
        <v>-0.0373069282041236</v>
      </c>
      <c r="AH33" s="53">
        <v>254.819453752</v>
      </c>
      <c r="AI33" s="55">
        <f t="shared" si="56"/>
        <v>0.260204391869275</v>
      </c>
      <c r="AJ33" s="57" t="s">
        <v>86</v>
      </c>
    </row>
    <row r="34" ht="36" customHeight="1" spans="1:36">
      <c r="A34" s="52" t="s">
        <v>16</v>
      </c>
      <c r="B34" s="53">
        <f>VLOOKUP($A34,[2]基础指标!$AB$21:$AL$36,3,0)</f>
        <v>14.84</v>
      </c>
      <c r="C34" s="53">
        <f>VLOOKUP($A34,[2]基础指标!$AB$21:$AL$36,4,0)</f>
        <v>2.685916</v>
      </c>
      <c r="D34" s="54">
        <f t="shared" si="36"/>
        <v>0.180991644204852</v>
      </c>
      <c r="E34" s="53">
        <f>VLOOKUP($A34,[3]基础指标!$Y$21:$AI$36,3,0)</f>
        <v>493.42</v>
      </c>
      <c r="F34" s="53">
        <f>VLOOKUP($A34,[3]基础指标!$Y$21:$AI$36,4,0)</f>
        <v>112.77</v>
      </c>
      <c r="G34" s="54">
        <f t="shared" si="37"/>
        <v>0.2285476875684</v>
      </c>
      <c r="H34" s="56">
        <f t="shared" si="44"/>
        <v>-110.084084</v>
      </c>
      <c r="I34" s="58">
        <f t="shared" si="45"/>
        <v>-0.0475560433635484</v>
      </c>
      <c r="J34" s="53">
        <f>VLOOKUP($A34,[2]基础指标!$AB$21:$AL$36,6,0)</f>
        <v>304.28</v>
      </c>
      <c r="K34" s="53">
        <f>VLOOKUP($A34,[2]基础指标!$AB$21:$AL$36,7,0)</f>
        <v>2.413548</v>
      </c>
      <c r="L34" s="54">
        <f t="shared" si="38"/>
        <v>0.00793199684501117</v>
      </c>
      <c r="M34" s="53">
        <f>VLOOKUP($A34,[3]基础指标!$Y$21:$AI$36,6,0)</f>
        <v>103.61</v>
      </c>
      <c r="N34" s="53">
        <f>VLOOKUP($A34,[3]基础指标!$Y$21:$AI$36,7,0)</f>
        <v>1.75</v>
      </c>
      <c r="O34" s="54">
        <f t="shared" si="39"/>
        <v>0.0168902615577647</v>
      </c>
      <c r="P34" s="56">
        <f t="shared" si="46"/>
        <v>0.663548</v>
      </c>
      <c r="Q34" s="55">
        <f t="shared" si="47"/>
        <v>-0.00895826471275352</v>
      </c>
      <c r="R34" s="53">
        <f>VLOOKUP($A34,[2]基础指标!$AB$21:$AL$36,9,0)</f>
        <v>0</v>
      </c>
      <c r="S34" s="53">
        <f>VLOOKUP($A34,[2]基础指标!$AB$21:$AL$36,10,0)</f>
        <v>0</v>
      </c>
      <c r="T34" s="54" t="str">
        <f t="shared" si="40"/>
        <v>——</v>
      </c>
      <c r="U34" s="53">
        <f>VLOOKUP($A34,[3]基础指标!$Y$21:$AI$36,9,0)</f>
        <v>30.48</v>
      </c>
      <c r="V34" s="53">
        <f>VLOOKUP($A34,[3]基础指标!$Y$21:$AI$36,10,0)</f>
        <v>0.19</v>
      </c>
      <c r="W34" s="54">
        <f t="shared" si="41"/>
        <v>0.00623359580052493</v>
      </c>
      <c r="X34" s="56">
        <f t="shared" si="48"/>
        <v>-0.19</v>
      </c>
      <c r="Y34" s="55" t="s">
        <v>64</v>
      </c>
      <c r="Z34" s="53">
        <f t="shared" si="50"/>
        <v>319.12</v>
      </c>
      <c r="AA34" s="53">
        <f t="shared" si="51"/>
        <v>5.099464</v>
      </c>
      <c r="AB34" s="54">
        <f t="shared" si="42"/>
        <v>0.0159797693657558</v>
      </c>
      <c r="AC34" s="53">
        <f t="shared" si="52"/>
        <v>627.51</v>
      </c>
      <c r="AD34" s="53">
        <f t="shared" si="53"/>
        <v>114.71</v>
      </c>
      <c r="AE34" s="54">
        <f t="shared" si="43"/>
        <v>0.18280186769932</v>
      </c>
      <c r="AF34" s="56">
        <f t="shared" si="54"/>
        <v>-109.610536</v>
      </c>
      <c r="AG34" s="55">
        <f t="shared" si="55"/>
        <v>-0.166822098333564</v>
      </c>
      <c r="AH34" s="53">
        <v>31.912</v>
      </c>
      <c r="AI34" s="55">
        <f t="shared" si="56"/>
        <v>0.159797693657558</v>
      </c>
      <c r="AJ34" s="57" t="s">
        <v>87</v>
      </c>
    </row>
    <row r="35" ht="36" customHeight="1" spans="1:36">
      <c r="A35" s="60" t="s">
        <v>23</v>
      </c>
      <c r="B35" s="61">
        <f>SUM(B28:B34)</f>
        <v>3708.370789</v>
      </c>
      <c r="C35" s="61">
        <f>SUM(C28:C34)</f>
        <v>829.210871</v>
      </c>
      <c r="D35" s="62">
        <f>C35/B35</f>
        <v>0.223605167385003</v>
      </c>
      <c r="E35" s="61">
        <f>SUM(E28:E34)</f>
        <v>4645.682022</v>
      </c>
      <c r="F35" s="61">
        <f>SUM(F28:F34)</f>
        <v>1039.693858</v>
      </c>
      <c r="G35" s="62">
        <f>F35/E35</f>
        <v>0.223797895137129</v>
      </c>
      <c r="H35" s="63">
        <f>SUM(H28:H34)</f>
        <v>-210.482987</v>
      </c>
      <c r="I35" s="62">
        <f t="shared" si="45"/>
        <v>-0.000192727752125893</v>
      </c>
      <c r="J35" s="61">
        <f>SUM(J28:J34)</f>
        <v>2953.247979</v>
      </c>
      <c r="K35" s="61">
        <f>SUM(K28:K34)</f>
        <v>192.894425</v>
      </c>
      <c r="L35" s="62">
        <f>K35/J35</f>
        <v>0.0653160270900502</v>
      </c>
      <c r="M35" s="61">
        <f>SUM(M28:M34)</f>
        <v>2460.337169</v>
      </c>
      <c r="N35" s="61">
        <f>SUM(N28:N34)</f>
        <v>183.574602</v>
      </c>
      <c r="O35" s="62">
        <f>N35/M35</f>
        <v>0.0746135953693752</v>
      </c>
      <c r="P35" s="63">
        <f>SUM(P28:P34)</f>
        <v>9.31982299999999</v>
      </c>
      <c r="Q35" s="62">
        <f>L35-O35</f>
        <v>-0.00929756827932496</v>
      </c>
      <c r="R35" s="61">
        <f>SUM(R28:R34)</f>
        <v>948.234607</v>
      </c>
      <c r="S35" s="61">
        <f>SUM(S28:S34)</f>
        <v>23.80598</v>
      </c>
      <c r="T35" s="62">
        <f>S35/R35</f>
        <v>0.0251055802269406</v>
      </c>
      <c r="U35" s="61">
        <f>SUM(U28:U34)</f>
        <v>741.011721</v>
      </c>
      <c r="V35" s="61">
        <f>SUM(V28:V34)</f>
        <v>36.039062</v>
      </c>
      <c r="W35" s="62">
        <f>V35/U35</f>
        <v>0.0486349419026261</v>
      </c>
      <c r="X35" s="63">
        <f>SUM(X28:X34)</f>
        <v>-12.233082</v>
      </c>
      <c r="Y35" s="62">
        <f>T35-W35</f>
        <v>-0.0235293616756855</v>
      </c>
      <c r="Z35" s="61">
        <f>SUM(Z28:Z34)</f>
        <v>7609.853375</v>
      </c>
      <c r="AA35" s="61">
        <f>SUM(AA28:AA34)</f>
        <v>1045.911276</v>
      </c>
      <c r="AB35" s="62">
        <f>AA35/Z35</f>
        <v>0.137441712009333</v>
      </c>
      <c r="AC35" s="61">
        <f>SUM(AC28:AC34)</f>
        <v>7847.030912</v>
      </c>
      <c r="AD35" s="61">
        <f>SUM(AD28:AD34)</f>
        <v>1259.307522</v>
      </c>
      <c r="AE35" s="62">
        <f>AD35/AC35</f>
        <v>0.160482039146069</v>
      </c>
      <c r="AF35" s="63">
        <f>SUM(AF28:AF34)</f>
        <v>-213.396246</v>
      </c>
      <c r="AG35" s="62">
        <f>AB35-AE35</f>
        <v>-0.0230403271367364</v>
      </c>
      <c r="AH35" s="63">
        <f>SUM(AH28:AH34)</f>
        <v>2471.9756449135</v>
      </c>
      <c r="AI35" s="62">
        <f t="shared" si="56"/>
        <v>0.423107435606065</v>
      </c>
      <c r="AJ35" s="57"/>
    </row>
    <row r="36" ht="36" customHeight="1" spans="1:36">
      <c r="A36" s="52" t="s">
        <v>25</v>
      </c>
      <c r="B36" s="53">
        <f>VLOOKUP($A36,[2]基础指标!$AB$21:$AL$36,3,0)</f>
        <v>112.564366</v>
      </c>
      <c r="C36" s="53">
        <f>VLOOKUP($A36,[2]基础指标!$AB$21:$AL$36,4,0)</f>
        <v>44.46674</v>
      </c>
      <c r="D36" s="54">
        <f t="shared" ref="D36:D41" si="57">IF(B36&gt;0,C36/B36,"——")</f>
        <v>0.395033895540264</v>
      </c>
      <c r="E36" s="53">
        <f>VLOOKUP($A36,[3]基础指标!$Y$21:$AI$36,3,0)</f>
        <v>135.377737</v>
      </c>
      <c r="F36" s="53">
        <f>VLOOKUP($A36,[3]基础指标!$Y$21:$AI$36,4,0)</f>
        <v>34.668519</v>
      </c>
      <c r="G36" s="54">
        <f t="shared" ref="G36:G41" si="58">IF(E36&gt;0,F36/E36,"——")</f>
        <v>0.256087298903512</v>
      </c>
      <c r="H36" s="56">
        <f t="shared" ref="H36:H41" si="59">C36-F36</f>
        <v>9.798221</v>
      </c>
      <c r="I36" s="55">
        <f t="shared" si="45"/>
        <v>0.138946596636752</v>
      </c>
      <c r="J36" s="53">
        <f>VLOOKUP($A36,[2]基础指标!$AB$21:$AL$36,6,0)</f>
        <v>44.051794</v>
      </c>
      <c r="K36" s="53">
        <f>VLOOKUP($A36,[2]基础指标!$AB$21:$AL$36,7,0)</f>
        <v>4.519763</v>
      </c>
      <c r="L36" s="54">
        <f t="shared" ref="L36:L41" si="60">IF(J36&gt;0,K36/J36,"——")</f>
        <v>0.102601110865088</v>
      </c>
      <c r="M36" s="53">
        <f>VLOOKUP($A36,[3]基础指标!$Y$21:$AI$36,6,0)</f>
        <v>128.329803</v>
      </c>
      <c r="N36" s="53">
        <f>VLOOKUP($A36,[3]基础指标!$Y$21:$AI$36,7,0)</f>
        <v>10.076575</v>
      </c>
      <c r="O36" s="54">
        <f t="shared" ref="O36:O41" si="61">IF(M36&gt;0,N36/M36,"——")</f>
        <v>0.0785209262730654</v>
      </c>
      <c r="P36" s="56">
        <f t="shared" ref="P36:P41" si="62">K36-N36</f>
        <v>-5.556812</v>
      </c>
      <c r="Q36" s="55">
        <f t="shared" ref="Q36:Q41" si="63">(K36/J36)-(N36/M36)</f>
        <v>0.0240801845920222</v>
      </c>
      <c r="R36" s="53">
        <f>VLOOKUP($A36,[2]基础指标!$AB$21:$AL$36,9,0)</f>
        <v>7.971188</v>
      </c>
      <c r="S36" s="53">
        <f>VLOOKUP($A36,[2]基础指标!$AB$21:$AL$36,10,0)</f>
        <v>0.276489</v>
      </c>
      <c r="T36" s="54">
        <f t="shared" ref="T36:T41" si="64">IF(R36&gt;0,S36/R36,"——")</f>
        <v>0.0346860467975413</v>
      </c>
      <c r="U36" s="53">
        <f>VLOOKUP($A36,[3]基础指标!$Y$21:$AI$36,9,0)</f>
        <v>27.151651</v>
      </c>
      <c r="V36" s="53">
        <f>VLOOKUP($A36,[3]基础指标!$Y$21:$AI$36,10,0)</f>
        <v>0.806386</v>
      </c>
      <c r="W36" s="54">
        <f t="shared" ref="W36:W41" si="65">IF(U36&gt;0,V36/U36,"——")</f>
        <v>0.0296993357788814</v>
      </c>
      <c r="X36" s="56">
        <f t="shared" ref="X36:X41" si="66">S36-V36</f>
        <v>-0.529897</v>
      </c>
      <c r="Y36" s="55">
        <f t="shared" ref="Y36:Y41" si="67">(S36/R36)-(V36/U36)</f>
        <v>0.00498671101865998</v>
      </c>
      <c r="Z36" s="53">
        <f t="shared" ref="Z36:Z41" si="68">B36+J36+R36</f>
        <v>164.587348</v>
      </c>
      <c r="AA36" s="53">
        <f t="shared" ref="AA36:AA41" si="69">C36+K36+S36</f>
        <v>49.262992</v>
      </c>
      <c r="AB36" s="54">
        <f t="shared" ref="AB36:AB41" si="70">IF(Z36&gt;0,AA36/Z36,"——")</f>
        <v>0.299312143968685</v>
      </c>
      <c r="AC36" s="53">
        <f t="shared" ref="AC36:AC41" si="71">E36+M36+U36</f>
        <v>290.859191</v>
      </c>
      <c r="AD36" s="53">
        <f t="shared" ref="AD36:AD41" si="72">F36+N36+V36</f>
        <v>45.55148</v>
      </c>
      <c r="AE36" s="54">
        <f t="shared" ref="AE36:AE41" si="73">IF(AC36&gt;0,AD36/AC36,"——")</f>
        <v>0.156610075973154</v>
      </c>
      <c r="AF36" s="56">
        <f t="shared" ref="AF36:AF41" si="74">AA36-AD36</f>
        <v>3.71151199999999</v>
      </c>
      <c r="AG36" s="55">
        <f t="shared" ref="AG36:AG41" si="75">(AA36/Z36)-(AD36/AC36)</f>
        <v>0.142702067995531</v>
      </c>
      <c r="AH36" s="53">
        <v>57.17781672</v>
      </c>
      <c r="AI36" s="38">
        <f t="shared" si="56"/>
        <v>0.861575254634871</v>
      </c>
      <c r="AJ36" s="57"/>
    </row>
    <row r="37" ht="36" customHeight="1" spans="1:36">
      <c r="A37" s="52" t="s">
        <v>26</v>
      </c>
      <c r="B37" s="53">
        <f>VLOOKUP($A37,[2]基础指标!$AB$21:$AL$36,3,0)</f>
        <v>157.04686</v>
      </c>
      <c r="C37" s="53">
        <f>VLOOKUP($A37,[2]基础指标!$AB$21:$AL$36,4,0)</f>
        <v>85.809552</v>
      </c>
      <c r="D37" s="54">
        <f t="shared" si="57"/>
        <v>0.546394572931926</v>
      </c>
      <c r="E37" s="53">
        <f>VLOOKUP($A37,[3]基础指标!$Y$21:$AI$36,3,0)</f>
        <v>7.92444</v>
      </c>
      <c r="F37" s="53">
        <f>VLOOKUP($A37,[3]基础指标!$Y$21:$AI$36,4,0)</f>
        <v>3.919412</v>
      </c>
      <c r="G37" s="54">
        <f t="shared" si="58"/>
        <v>0.494597977901278</v>
      </c>
      <c r="H37" s="56">
        <f t="shared" si="59"/>
        <v>81.89014</v>
      </c>
      <c r="I37" s="55">
        <f t="shared" si="45"/>
        <v>0.0517965950306486</v>
      </c>
      <c r="J37" s="53">
        <f>VLOOKUP($A37,[2]基础指标!$AB$21:$AL$36,6,0)</f>
        <v>65.853913</v>
      </c>
      <c r="K37" s="53">
        <f>VLOOKUP($A37,[2]基础指标!$AB$21:$AL$36,7,0)</f>
        <v>9.819514</v>
      </c>
      <c r="L37" s="54">
        <f t="shared" si="60"/>
        <v>0.14911056234426</v>
      </c>
      <c r="M37" s="53">
        <f>VLOOKUP($A37,[3]基础指标!$Y$21:$AI$36,6,0)</f>
        <v>0</v>
      </c>
      <c r="N37" s="53">
        <f>VLOOKUP($A37,[3]基础指标!$Y$21:$AI$36,7,0)</f>
        <v>0</v>
      </c>
      <c r="O37" s="54" t="str">
        <f t="shared" si="61"/>
        <v>——</v>
      </c>
      <c r="P37" s="56">
        <f t="shared" si="62"/>
        <v>9.819514</v>
      </c>
      <c r="Q37" s="55" t="s">
        <v>64</v>
      </c>
      <c r="R37" s="53">
        <f>VLOOKUP($A37,[2]基础指标!$AB$21:$AL$36,9,0)</f>
        <v>21.512833</v>
      </c>
      <c r="S37" s="53">
        <f>VLOOKUP($A37,[2]基础指标!$AB$21:$AL$36,10,0)</f>
        <v>0.995679</v>
      </c>
      <c r="T37" s="54">
        <f t="shared" si="64"/>
        <v>0.0462830255782676</v>
      </c>
      <c r="U37" s="53">
        <f>VLOOKUP($A37,[3]基础指标!$Y$21:$AI$36,9,0)</f>
        <v>0</v>
      </c>
      <c r="V37" s="53">
        <f>VLOOKUP($A37,[3]基础指标!$Y$21:$AI$36,10,0)</f>
        <v>0</v>
      </c>
      <c r="W37" s="54" t="str">
        <f t="shared" si="65"/>
        <v>——</v>
      </c>
      <c r="X37" s="56">
        <f t="shared" si="66"/>
        <v>0.995679</v>
      </c>
      <c r="Y37" s="55" t="s">
        <v>64</v>
      </c>
      <c r="Z37" s="53">
        <f t="shared" si="68"/>
        <v>244.413606</v>
      </c>
      <c r="AA37" s="53">
        <f t="shared" si="69"/>
        <v>96.624745</v>
      </c>
      <c r="AB37" s="54">
        <f t="shared" si="70"/>
        <v>0.395332921850513</v>
      </c>
      <c r="AC37" s="53">
        <f t="shared" si="71"/>
        <v>7.92444</v>
      </c>
      <c r="AD37" s="53">
        <f t="shared" si="72"/>
        <v>3.919412</v>
      </c>
      <c r="AE37" s="54">
        <f t="shared" si="73"/>
        <v>0.494597977901278</v>
      </c>
      <c r="AF37" s="56">
        <f t="shared" si="74"/>
        <v>92.705333</v>
      </c>
      <c r="AG37" s="55">
        <f t="shared" si="75"/>
        <v>-0.0992650560507649</v>
      </c>
      <c r="AH37" s="53">
        <v>115.8320563</v>
      </c>
      <c r="AI37" s="38">
        <f t="shared" si="56"/>
        <v>0.834179657052328</v>
      </c>
      <c r="AJ37" s="57"/>
    </row>
    <row r="38" ht="36" customHeight="1" spans="1:36">
      <c r="A38" s="52" t="s">
        <v>24</v>
      </c>
      <c r="B38" s="53">
        <f>VLOOKUP($A38,[2]基础指标!$AB$21:$AL$36,3,0)</f>
        <v>142.74</v>
      </c>
      <c r="C38" s="53">
        <f>VLOOKUP($A38,[2]基础指标!$AB$21:$AL$36,4,0)</f>
        <v>51.75</v>
      </c>
      <c r="D38" s="54">
        <f t="shared" si="57"/>
        <v>0.362547288776797</v>
      </c>
      <c r="E38" s="53">
        <f>VLOOKUP($A38,[3]基础指标!$Y$21:$AI$36,3,0)</f>
        <v>0</v>
      </c>
      <c r="F38" s="53">
        <f>VLOOKUP($A38,[3]基础指标!$Y$21:$AI$36,4,0)</f>
        <v>0</v>
      </c>
      <c r="G38" s="54" t="str">
        <f t="shared" si="58"/>
        <v>——</v>
      </c>
      <c r="H38" s="56">
        <f t="shared" si="59"/>
        <v>51.75</v>
      </c>
      <c r="I38" s="55">
        <f>D38</f>
        <v>0.362547288776797</v>
      </c>
      <c r="J38" s="53">
        <f>VLOOKUP($A38,[2]基础指标!$AB$21:$AL$36,6,0)</f>
        <v>56.7</v>
      </c>
      <c r="K38" s="53">
        <f>VLOOKUP($A38,[2]基础指标!$AB$21:$AL$36,7,0)</f>
        <v>6.69</v>
      </c>
      <c r="L38" s="54">
        <f t="shared" si="60"/>
        <v>0.117989417989418</v>
      </c>
      <c r="M38" s="53">
        <f>VLOOKUP($A38,[3]基础指标!$Y$21:$AI$36,6,0)</f>
        <v>0</v>
      </c>
      <c r="N38" s="53">
        <f>VLOOKUP($A38,[3]基础指标!$Y$21:$AI$36,7,0)</f>
        <v>0</v>
      </c>
      <c r="O38" s="54" t="str">
        <f t="shared" si="61"/>
        <v>——</v>
      </c>
      <c r="P38" s="56">
        <f t="shared" si="62"/>
        <v>6.69</v>
      </c>
      <c r="Q38" s="55">
        <f>L38</f>
        <v>0.117989417989418</v>
      </c>
      <c r="R38" s="53">
        <f>VLOOKUP($A38,[2]基础指标!$AB$21:$AL$36,9,0)</f>
        <v>24.02</v>
      </c>
      <c r="S38" s="53">
        <f>VLOOKUP($A38,[2]基础指标!$AB$21:$AL$36,10,0)</f>
        <v>1.49</v>
      </c>
      <c r="T38" s="54">
        <f t="shared" si="64"/>
        <v>0.0620316402997502</v>
      </c>
      <c r="U38" s="53">
        <f>VLOOKUP($A38,[3]基础指标!$Y$21:$AI$36,9,0)</f>
        <v>0</v>
      </c>
      <c r="V38" s="53">
        <f>VLOOKUP($A38,[3]基础指标!$Y$21:$AI$36,10,0)</f>
        <v>0</v>
      </c>
      <c r="W38" s="54" t="str">
        <f t="shared" si="65"/>
        <v>——</v>
      </c>
      <c r="X38" s="56">
        <f t="shared" si="66"/>
        <v>1.49</v>
      </c>
      <c r="Y38" s="55">
        <f>T38</f>
        <v>0.0620316402997502</v>
      </c>
      <c r="Z38" s="53">
        <f t="shared" si="68"/>
        <v>223.46</v>
      </c>
      <c r="AA38" s="53">
        <f t="shared" si="69"/>
        <v>59.93</v>
      </c>
      <c r="AB38" s="54">
        <f t="shared" si="70"/>
        <v>0.26819117515439</v>
      </c>
      <c r="AC38" s="53">
        <f t="shared" si="71"/>
        <v>0</v>
      </c>
      <c r="AD38" s="53">
        <f t="shared" si="72"/>
        <v>0</v>
      </c>
      <c r="AE38" s="54" t="str">
        <f t="shared" si="73"/>
        <v>——</v>
      </c>
      <c r="AF38" s="56">
        <f t="shared" si="74"/>
        <v>59.93</v>
      </c>
      <c r="AG38" s="55">
        <f>AB38</f>
        <v>0.26819117515439</v>
      </c>
      <c r="AH38" s="53">
        <v>103.8218</v>
      </c>
      <c r="AI38" s="38">
        <f t="shared" si="56"/>
        <v>0.577239076956863</v>
      </c>
      <c r="AJ38" s="57"/>
    </row>
    <row r="39" ht="36" customHeight="1" spans="1:36">
      <c r="A39" s="52" t="s">
        <v>27</v>
      </c>
      <c r="B39" s="53">
        <f>VLOOKUP($A39,[2]基础指标!$AB$21:$AL$36,3,0)</f>
        <v>43.54</v>
      </c>
      <c r="C39" s="53">
        <f>VLOOKUP($A39,[2]基础指标!$AB$21:$AL$36,4,0)</f>
        <v>16.96</v>
      </c>
      <c r="D39" s="54">
        <f t="shared" si="57"/>
        <v>0.389526871841984</v>
      </c>
      <c r="E39" s="53">
        <f>VLOOKUP($A39,[3]基础指标!$Y$21:$AI$36,3,0)</f>
        <v>37.69</v>
      </c>
      <c r="F39" s="53">
        <f>VLOOKUP($A39,[3]基础指标!$Y$21:$AI$36,4,0)</f>
        <v>15.91</v>
      </c>
      <c r="G39" s="54">
        <f t="shared" si="58"/>
        <v>0.422127885380738</v>
      </c>
      <c r="H39" s="56">
        <f t="shared" si="59"/>
        <v>1.05</v>
      </c>
      <c r="I39" s="55">
        <f t="shared" si="45"/>
        <v>-0.0326010135387532</v>
      </c>
      <c r="J39" s="53">
        <f>VLOOKUP($A39,[2]基础指标!$AB$21:$AL$36,6,0)</f>
        <v>23.59</v>
      </c>
      <c r="K39" s="53">
        <f>VLOOKUP($A39,[2]基础指标!$AB$21:$AL$36,7,0)</f>
        <v>1.52</v>
      </c>
      <c r="L39" s="54">
        <f t="shared" si="60"/>
        <v>0.0644340822382365</v>
      </c>
      <c r="M39" s="53">
        <f>VLOOKUP($A39,[3]基础指标!$Y$21:$AI$36,6,0)</f>
        <v>20.28</v>
      </c>
      <c r="N39" s="53">
        <f>VLOOKUP($A39,[3]基础指标!$Y$21:$AI$36,7,0)</f>
        <v>1.33</v>
      </c>
      <c r="O39" s="54">
        <f t="shared" si="61"/>
        <v>0.0655818540433925</v>
      </c>
      <c r="P39" s="56">
        <f t="shared" si="62"/>
        <v>0.19</v>
      </c>
      <c r="Q39" s="55">
        <f t="shared" si="63"/>
        <v>-0.00114777180515596</v>
      </c>
      <c r="R39" s="53">
        <f>VLOOKUP($A39,[2]基础指标!$AB$21:$AL$36,9,0)</f>
        <v>16.406082</v>
      </c>
      <c r="S39" s="53">
        <f>VLOOKUP($A39,[2]基础指标!$AB$21:$AL$36,10,0)</f>
        <v>0.38</v>
      </c>
      <c r="T39" s="54">
        <f t="shared" si="64"/>
        <v>0.0231621419422382</v>
      </c>
      <c r="U39" s="53">
        <f>VLOOKUP($A39,[3]基础指标!$Y$21:$AI$36,9,0)</f>
        <v>12.32</v>
      </c>
      <c r="V39" s="53">
        <f>VLOOKUP($A39,[3]基础指标!$Y$21:$AI$36,10,0)</f>
        <v>0.46</v>
      </c>
      <c r="W39" s="54">
        <f t="shared" si="65"/>
        <v>0.0373376623376623</v>
      </c>
      <c r="X39" s="56">
        <f t="shared" si="66"/>
        <v>-0.08</v>
      </c>
      <c r="Y39" s="55">
        <f t="shared" si="67"/>
        <v>-0.0141755203954241</v>
      </c>
      <c r="Z39" s="53">
        <f t="shared" si="68"/>
        <v>83.536082</v>
      </c>
      <c r="AA39" s="53">
        <f t="shared" si="69"/>
        <v>18.86</v>
      </c>
      <c r="AB39" s="54">
        <f t="shared" si="70"/>
        <v>0.225770703490738</v>
      </c>
      <c r="AC39" s="53">
        <f t="shared" si="71"/>
        <v>70.29</v>
      </c>
      <c r="AD39" s="53">
        <f t="shared" si="72"/>
        <v>17.7</v>
      </c>
      <c r="AE39" s="54">
        <f t="shared" si="73"/>
        <v>0.251813913785745</v>
      </c>
      <c r="AF39" s="56">
        <f t="shared" si="74"/>
        <v>1.16</v>
      </c>
      <c r="AG39" s="55">
        <f t="shared" si="75"/>
        <v>-0.0260432102950065</v>
      </c>
      <c r="AH39" s="53">
        <v>41.33909066</v>
      </c>
      <c r="AI39" s="38">
        <f t="shared" si="56"/>
        <v>0.456226774679615</v>
      </c>
      <c r="AJ39" s="57"/>
    </row>
    <row r="40" ht="36" customHeight="1" spans="1:36">
      <c r="A40" s="52" t="s">
        <v>30</v>
      </c>
      <c r="B40" s="53">
        <f>VLOOKUP($A40,[2]基础指标!$AB$21:$AL$36,3,0)</f>
        <v>727.756951</v>
      </c>
      <c r="C40" s="53">
        <f>VLOOKUP($A40,[2]基础指标!$AB$21:$AL$36,4,0)</f>
        <v>151.669605</v>
      </c>
      <c r="D40" s="54">
        <f t="shared" si="57"/>
        <v>0.208406947939959</v>
      </c>
      <c r="E40" s="53">
        <f>VLOOKUP($A40,[3]基础指标!$Y$21:$AI$36,3,0)</f>
        <v>704.786465</v>
      </c>
      <c r="F40" s="53">
        <f>VLOOKUP($A40,[3]基础指标!$Y$21:$AI$36,4,0)</f>
        <v>193.020512</v>
      </c>
      <c r="G40" s="54">
        <f t="shared" si="58"/>
        <v>0.273870912092502</v>
      </c>
      <c r="H40" s="56">
        <f t="shared" si="59"/>
        <v>-41.350907</v>
      </c>
      <c r="I40" s="58">
        <f t="shared" si="45"/>
        <v>-0.065463964152543</v>
      </c>
      <c r="J40" s="53">
        <f>VLOOKUP($A40,[2]基础指标!$AB$21:$AL$36,6,0)</f>
        <v>529.960588</v>
      </c>
      <c r="K40" s="53">
        <f>VLOOKUP($A40,[2]基础指标!$AB$21:$AL$36,7,0)</f>
        <v>28.056331</v>
      </c>
      <c r="L40" s="54">
        <f t="shared" si="60"/>
        <v>0.0529404103536846</v>
      </c>
      <c r="M40" s="53">
        <f>VLOOKUP($A40,[3]基础指标!$Y$21:$AI$36,6,0)</f>
        <v>553.562657</v>
      </c>
      <c r="N40" s="53">
        <f>VLOOKUP($A40,[3]基础指标!$Y$21:$AI$36,7,0)</f>
        <v>43.721664</v>
      </c>
      <c r="O40" s="54">
        <f t="shared" si="61"/>
        <v>0.078982321959626</v>
      </c>
      <c r="P40" s="56">
        <f t="shared" si="62"/>
        <v>-15.665333</v>
      </c>
      <c r="Q40" s="55">
        <f t="shared" si="63"/>
        <v>-0.0260419116059413</v>
      </c>
      <c r="R40" s="53">
        <f>VLOOKUP($A40,[2]基础指标!$AB$21:$AL$36,9,0)</f>
        <v>205.23221</v>
      </c>
      <c r="S40" s="53">
        <f>VLOOKUP($A40,[2]基础指标!$AB$21:$AL$36,10,0)</f>
        <v>3.703836</v>
      </c>
      <c r="T40" s="54">
        <f t="shared" si="64"/>
        <v>0.0180470502169226</v>
      </c>
      <c r="U40" s="53">
        <f>VLOOKUP($A40,[3]基础指标!$Y$21:$AI$36,9,0)</f>
        <v>167.197772</v>
      </c>
      <c r="V40" s="53">
        <f>VLOOKUP($A40,[3]基础指标!$Y$21:$AI$36,10,0)</f>
        <v>4.454444</v>
      </c>
      <c r="W40" s="54">
        <f t="shared" si="65"/>
        <v>0.0266417664943526</v>
      </c>
      <c r="X40" s="56">
        <f t="shared" si="66"/>
        <v>-0.750608000000001</v>
      </c>
      <c r="Y40" s="55">
        <f t="shared" si="67"/>
        <v>-0.00859471627742999</v>
      </c>
      <c r="Z40" s="53">
        <f t="shared" si="68"/>
        <v>1462.949749</v>
      </c>
      <c r="AA40" s="53">
        <f t="shared" si="69"/>
        <v>183.429772</v>
      </c>
      <c r="AB40" s="54">
        <f t="shared" si="70"/>
        <v>0.125383508302581</v>
      </c>
      <c r="AC40" s="53">
        <f t="shared" si="71"/>
        <v>1425.546894</v>
      </c>
      <c r="AD40" s="53">
        <f t="shared" si="72"/>
        <v>241.19662</v>
      </c>
      <c r="AE40" s="54">
        <f t="shared" si="73"/>
        <v>0.169195851090676</v>
      </c>
      <c r="AF40" s="56">
        <f t="shared" si="74"/>
        <v>-57.766848</v>
      </c>
      <c r="AG40" s="58">
        <f t="shared" si="75"/>
        <v>-0.0438123427880954</v>
      </c>
      <c r="AH40" s="53">
        <v>449.7332669</v>
      </c>
      <c r="AI40" s="38">
        <f t="shared" si="56"/>
        <v>0.407863472640965</v>
      </c>
      <c r="AJ40" s="57" t="s">
        <v>88</v>
      </c>
    </row>
    <row r="41" ht="36" customHeight="1" spans="1:36">
      <c r="A41" s="52" t="s">
        <v>29</v>
      </c>
      <c r="B41" s="53">
        <f>VLOOKUP($A41,[2]基础指标!$AB$21:$AL$36,3,0)</f>
        <v>363.947446</v>
      </c>
      <c r="C41" s="53">
        <f>VLOOKUP($A41,[2]基础指标!$AB$21:$AL$36,4,0)</f>
        <v>70.345527</v>
      </c>
      <c r="D41" s="54">
        <f t="shared" si="57"/>
        <v>0.193284848604213</v>
      </c>
      <c r="E41" s="53">
        <f>VLOOKUP($A41,[3]基础指标!$Y$21:$AI$36,3,0)</f>
        <v>347.6192</v>
      </c>
      <c r="F41" s="53">
        <f>VLOOKUP($A41,[3]基础指标!$Y$21:$AI$36,4,0)</f>
        <v>70.333655</v>
      </c>
      <c r="G41" s="54">
        <f t="shared" si="58"/>
        <v>0.202329603773324</v>
      </c>
      <c r="H41" s="56">
        <f t="shared" si="59"/>
        <v>0.011872000000011</v>
      </c>
      <c r="I41" s="55">
        <f t="shared" si="45"/>
        <v>-0.00904475516911132</v>
      </c>
      <c r="J41" s="53">
        <f>VLOOKUP($A41,[2]基础指标!$AB$21:$AL$36,6,0)</f>
        <v>243.83659</v>
      </c>
      <c r="K41" s="53">
        <f>VLOOKUP($A41,[2]基础指标!$AB$21:$AL$36,7,0)</f>
        <v>17.240315</v>
      </c>
      <c r="L41" s="54">
        <f t="shared" si="60"/>
        <v>0.0707043803393084</v>
      </c>
      <c r="M41" s="53">
        <f>VLOOKUP($A41,[3]基础指标!$Y$21:$AI$36,6,0)</f>
        <v>232.00606</v>
      </c>
      <c r="N41" s="53">
        <f>VLOOKUP($A41,[3]基础指标!$Y$21:$AI$36,7,0)</f>
        <v>20.522295</v>
      </c>
      <c r="O41" s="54">
        <f t="shared" si="61"/>
        <v>0.0884558575754444</v>
      </c>
      <c r="P41" s="56">
        <f t="shared" si="62"/>
        <v>-3.28198</v>
      </c>
      <c r="Q41" s="55">
        <f t="shared" si="63"/>
        <v>-0.017751477236136</v>
      </c>
      <c r="R41" s="53">
        <f>VLOOKUP($A41,[2]基础指标!$AB$21:$AL$36,9,0)</f>
        <v>143.958837</v>
      </c>
      <c r="S41" s="53">
        <f>VLOOKUP($A41,[2]基础指标!$AB$21:$AL$36,10,0)</f>
        <v>4.641128</v>
      </c>
      <c r="T41" s="54">
        <f t="shared" si="64"/>
        <v>0.0322392712855828</v>
      </c>
      <c r="U41" s="53">
        <f>VLOOKUP($A41,[3]基础指标!$Y$21:$AI$36,9,0)</f>
        <v>143.89359</v>
      </c>
      <c r="V41" s="53">
        <f>VLOOKUP($A41,[3]基础指标!$Y$21:$AI$36,10,0)</f>
        <v>7.536102</v>
      </c>
      <c r="W41" s="54">
        <f t="shared" si="65"/>
        <v>0.0523727429415028</v>
      </c>
      <c r="X41" s="56">
        <f t="shared" si="66"/>
        <v>-2.894974</v>
      </c>
      <c r="Y41" s="55">
        <f t="shared" si="67"/>
        <v>-0.02013347165592</v>
      </c>
      <c r="Z41" s="53">
        <f t="shared" si="68"/>
        <v>751.742873</v>
      </c>
      <c r="AA41" s="53">
        <f t="shared" si="69"/>
        <v>92.22697</v>
      </c>
      <c r="AB41" s="54">
        <f t="shared" si="70"/>
        <v>0.122684196036269</v>
      </c>
      <c r="AC41" s="53">
        <f t="shared" si="71"/>
        <v>723.51885</v>
      </c>
      <c r="AD41" s="53">
        <f t="shared" si="72"/>
        <v>98.392052</v>
      </c>
      <c r="AE41" s="54">
        <f t="shared" si="73"/>
        <v>0.135991000096266</v>
      </c>
      <c r="AF41" s="56">
        <f t="shared" si="74"/>
        <v>-6.165082</v>
      </c>
      <c r="AG41" s="55">
        <f t="shared" si="75"/>
        <v>-0.0133068040599967</v>
      </c>
      <c r="AH41" s="53">
        <v>245.6500331</v>
      </c>
      <c r="AI41" s="38">
        <f t="shared" si="56"/>
        <v>0.37544049490299</v>
      </c>
      <c r="AJ41" s="57"/>
    </row>
    <row r="42" ht="36" customHeight="1" spans="1:36">
      <c r="A42" s="60" t="s">
        <v>23</v>
      </c>
      <c r="B42" s="61">
        <f>SUM(B36:B41)</f>
        <v>1547.595623</v>
      </c>
      <c r="C42" s="61">
        <f>SUM(C36:C41)</f>
        <v>421.001424</v>
      </c>
      <c r="D42" s="62">
        <f>C42/B42</f>
        <v>0.272035806862708</v>
      </c>
      <c r="E42" s="61">
        <f>SUM(E36:E41)</f>
        <v>1233.397842</v>
      </c>
      <c r="F42" s="61">
        <f>SUM(F36:F41)</f>
        <v>317.852098</v>
      </c>
      <c r="G42" s="62">
        <f>F42/E42</f>
        <v>0.25770443824078</v>
      </c>
      <c r="H42" s="61">
        <f>SUM(H36:H41)</f>
        <v>103.149326</v>
      </c>
      <c r="I42" s="62">
        <f t="shared" si="45"/>
        <v>0.014331368621928</v>
      </c>
      <c r="J42" s="61">
        <f>SUM(J36:J41)</f>
        <v>963.992885</v>
      </c>
      <c r="K42" s="61">
        <f>SUM(K36:K41)</f>
        <v>67.845923</v>
      </c>
      <c r="L42" s="62">
        <f>K42/J42</f>
        <v>0.0703801076291139</v>
      </c>
      <c r="M42" s="61">
        <f>SUM(M36:M41)</f>
        <v>934.17852</v>
      </c>
      <c r="N42" s="61">
        <f>SUM(N36:N41)</f>
        <v>75.650534</v>
      </c>
      <c r="O42" s="62">
        <f>N42/M42</f>
        <v>0.0809808108197564</v>
      </c>
      <c r="P42" s="61">
        <f>SUM(P36:P41)</f>
        <v>-7.80461100000001</v>
      </c>
      <c r="Q42" s="62">
        <f>L42-O42</f>
        <v>-0.0106007031906425</v>
      </c>
      <c r="R42" s="61">
        <f>SUM(R36:R41)</f>
        <v>419.10115</v>
      </c>
      <c r="S42" s="61">
        <f>SUM(S36:S41)</f>
        <v>11.487132</v>
      </c>
      <c r="T42" s="62">
        <f>S42/R42</f>
        <v>0.027408972750373</v>
      </c>
      <c r="U42" s="61">
        <f>SUM(U36:U41)</f>
        <v>350.563013</v>
      </c>
      <c r="V42" s="61">
        <f>SUM(V36:V41)</f>
        <v>13.256932</v>
      </c>
      <c r="W42" s="62">
        <f>V42/U42</f>
        <v>0.0378161172410964</v>
      </c>
      <c r="X42" s="61">
        <f>SUM(X36:X41)</f>
        <v>-1.7698</v>
      </c>
      <c r="Y42" s="62">
        <f>T42-W42</f>
        <v>-0.0104071444907234</v>
      </c>
      <c r="Z42" s="61">
        <f>SUM(Z36:Z41)</f>
        <v>2930.689658</v>
      </c>
      <c r="AA42" s="61">
        <f>SUM(AA36:AA41)</f>
        <v>500.334479</v>
      </c>
      <c r="AB42" s="62">
        <f>AA42/Z42</f>
        <v>0.170722436486654</v>
      </c>
      <c r="AC42" s="61">
        <f>SUM(AC36:AC41)</f>
        <v>2518.139375</v>
      </c>
      <c r="AD42" s="61">
        <f>SUM(AD36:AD41)</f>
        <v>406.759564</v>
      </c>
      <c r="AE42" s="62">
        <f>AD42/AC42</f>
        <v>0.161531791305237</v>
      </c>
      <c r="AF42" s="61">
        <f>SUM(AF36:AF41)</f>
        <v>93.574915</v>
      </c>
      <c r="AG42" s="62">
        <f>AB42-AE42</f>
        <v>0.00919064518141699</v>
      </c>
      <c r="AH42" s="61">
        <f>SUM(AH36:AH41)</f>
        <v>1013.55406368</v>
      </c>
      <c r="AI42" s="62">
        <f t="shared" si="56"/>
        <v>0.493643602180817</v>
      </c>
      <c r="AJ42" s="57"/>
    </row>
    <row r="43" ht="36" customHeight="1" spans="1:36">
      <c r="A43" s="60" t="s">
        <v>32</v>
      </c>
      <c r="B43" s="61">
        <f>B42+B35</f>
        <v>5255.966412</v>
      </c>
      <c r="C43" s="61">
        <f>C42+C35</f>
        <v>1250.212295</v>
      </c>
      <c r="D43" s="62">
        <f>C43/B43</f>
        <v>0.237865350917315</v>
      </c>
      <c r="E43" s="61">
        <f>E42+E35</f>
        <v>5879.079864</v>
      </c>
      <c r="F43" s="61">
        <f>F42+F35</f>
        <v>1357.545956</v>
      </c>
      <c r="G43" s="62">
        <f>F43/E43</f>
        <v>0.230911296904267</v>
      </c>
      <c r="H43" s="61">
        <f>H42+H35</f>
        <v>-107.333661</v>
      </c>
      <c r="I43" s="62">
        <f t="shared" si="45"/>
        <v>0.00695405401304799</v>
      </c>
      <c r="J43" s="61">
        <f>J42+J35</f>
        <v>3917.240864</v>
      </c>
      <c r="K43" s="61">
        <f>K42+K35</f>
        <v>260.740348</v>
      </c>
      <c r="L43" s="62">
        <f>K43/J43</f>
        <v>0.0665622454815686</v>
      </c>
      <c r="M43" s="61">
        <f>M42+M35</f>
        <v>3394.515689</v>
      </c>
      <c r="N43" s="61">
        <f>N42+N35</f>
        <v>259.225136</v>
      </c>
      <c r="O43" s="62">
        <f>N43/M43</f>
        <v>0.076365867696539</v>
      </c>
      <c r="P43" s="61">
        <f>P42+P35</f>
        <v>1.51521199999998</v>
      </c>
      <c r="Q43" s="62">
        <f>L43-O43</f>
        <v>-0.0098036222149704</v>
      </c>
      <c r="R43" s="61">
        <f>R42+R35</f>
        <v>1367.335757</v>
      </c>
      <c r="S43" s="61">
        <f>S42+S35</f>
        <v>35.293112</v>
      </c>
      <c r="T43" s="62">
        <f>S43/R43</f>
        <v>0.025811591497786</v>
      </c>
      <c r="U43" s="61">
        <f>U42+U35</f>
        <v>1091.574734</v>
      </c>
      <c r="V43" s="61">
        <f>V42+V35</f>
        <v>49.295994</v>
      </c>
      <c r="W43" s="62">
        <f>V43/U43</f>
        <v>0.0451604388270863</v>
      </c>
      <c r="X43" s="61">
        <f>X42+X35</f>
        <v>-14.002882</v>
      </c>
      <c r="Y43" s="62">
        <f>T43-W43</f>
        <v>-0.0193488473293003</v>
      </c>
      <c r="Z43" s="61">
        <f>Z42+Z35</f>
        <v>10540.543033</v>
      </c>
      <c r="AA43" s="61">
        <f>AA42+AA35</f>
        <v>1546.245755</v>
      </c>
      <c r="AB43" s="62">
        <f>AA43/Z43</f>
        <v>0.146695075401624</v>
      </c>
      <c r="AC43" s="61">
        <f>AC42+AC35</f>
        <v>10365.170287</v>
      </c>
      <c r="AD43" s="61">
        <f>AD42+AD35</f>
        <v>1666.067086</v>
      </c>
      <c r="AE43" s="62">
        <f>AD43/AC43</f>
        <v>0.160737068457967</v>
      </c>
      <c r="AF43" s="61">
        <f>AF42+AF35</f>
        <v>-119.821331</v>
      </c>
      <c r="AG43" s="62">
        <f>AB43-AE43</f>
        <v>-0.0140419930563426</v>
      </c>
      <c r="AH43" s="61">
        <f>AH42+AH35</f>
        <v>3485.5297085935</v>
      </c>
      <c r="AI43" s="62">
        <f t="shared" si="56"/>
        <v>0.443618584339638</v>
      </c>
      <c r="AJ43" s="57"/>
    </row>
  </sheetData>
  <sortState ref="A36:AJ41">
    <sortCondition ref="AI36:AI41" descending="1"/>
  </sortState>
  <mergeCells count="44">
    <mergeCell ref="A1:AJ1"/>
    <mergeCell ref="A2:AG2"/>
    <mergeCell ref="B3:I3"/>
    <mergeCell ref="J3:Q3"/>
    <mergeCell ref="R3:Y3"/>
    <mergeCell ref="Z3:AI3"/>
    <mergeCell ref="B4:D4"/>
    <mergeCell ref="E4:G4"/>
    <mergeCell ref="H4:I4"/>
    <mergeCell ref="J4:L4"/>
    <mergeCell ref="M4:O4"/>
    <mergeCell ref="P4:Q4"/>
    <mergeCell ref="R4:T4"/>
    <mergeCell ref="U4:W4"/>
    <mergeCell ref="X4:Y4"/>
    <mergeCell ref="Z4:AB4"/>
    <mergeCell ref="AC4:AE4"/>
    <mergeCell ref="AF4:AG4"/>
    <mergeCell ref="A23:AJ23"/>
    <mergeCell ref="A24:AG24"/>
    <mergeCell ref="B25:I25"/>
    <mergeCell ref="J25:Q25"/>
    <mergeCell ref="R25:Y25"/>
    <mergeCell ref="Z25:AI25"/>
    <mergeCell ref="B26:D26"/>
    <mergeCell ref="E26:G26"/>
    <mergeCell ref="H26:I26"/>
    <mergeCell ref="J26:L26"/>
    <mergeCell ref="M26:O26"/>
    <mergeCell ref="P26:Q26"/>
    <mergeCell ref="R26:T26"/>
    <mergeCell ref="U26:W26"/>
    <mergeCell ref="X26:Y26"/>
    <mergeCell ref="Z26:AB26"/>
    <mergeCell ref="AC26:AE26"/>
    <mergeCell ref="AF26:AG26"/>
    <mergeCell ref="A3:A5"/>
    <mergeCell ref="A25:A27"/>
    <mergeCell ref="AH4:AH5"/>
    <mergeCell ref="AH26:AH27"/>
    <mergeCell ref="AI4:AI5"/>
    <mergeCell ref="AI26:AI27"/>
    <mergeCell ref="AJ3:AJ5"/>
    <mergeCell ref="AJ25:AJ27"/>
  </mergeCells>
  <pageMargins left="0.314583333333333" right="0.275" top="0.629861111111111" bottom="0.275" header="0.5" footer="0.5"/>
  <pageSetup paperSize="9" scale="59" fitToHeight="0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9"/>
  <sheetViews>
    <sheetView workbookViewId="0">
      <selection activeCell="E9" sqref="E9"/>
    </sheetView>
  </sheetViews>
  <sheetFormatPr defaultColWidth="8.50833333333333" defaultRowHeight="16.5"/>
  <cols>
    <col min="1" max="17" width="7.75833333333333" style="33" customWidth="1"/>
    <col min="18" max="18" width="17" style="33" hidden="1" customWidth="1"/>
    <col min="19" max="16384" width="8.50833333333333" style="33" customWidth="1"/>
  </cols>
  <sheetData>
    <row r="1" ht="30" customHeight="1" spans="1:33">
      <c r="A1" s="11" t="s">
        <v>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ht="30" customHeight="1" spans="1:33">
      <c r="A2" s="34" t="s">
        <v>90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ht="27" customHeight="1" spans="1:33">
      <c r="A3" s="3" t="s">
        <v>1</v>
      </c>
      <c r="B3" s="14" t="s">
        <v>41</v>
      </c>
      <c r="C3" s="14"/>
      <c r="D3" s="14"/>
      <c r="E3" s="14"/>
      <c r="F3" s="14"/>
      <c r="G3" s="14"/>
      <c r="H3" s="14"/>
      <c r="I3" s="14"/>
      <c r="J3" s="14" t="s">
        <v>42</v>
      </c>
      <c r="K3" s="14"/>
      <c r="L3" s="14"/>
      <c r="M3" s="14"/>
      <c r="N3" s="14"/>
      <c r="O3" s="14"/>
      <c r="P3" s="14"/>
      <c r="Q3" s="14"/>
      <c r="R3" s="3" t="s">
        <v>13</v>
      </c>
    </row>
    <row r="4" ht="27" customHeight="1" spans="1:33">
      <c r="A4" s="3"/>
      <c r="B4" s="14" t="s">
        <v>43</v>
      </c>
      <c r="C4" s="14"/>
      <c r="D4" s="14"/>
      <c r="E4" s="14" t="s">
        <v>44</v>
      </c>
      <c r="F4" s="14"/>
      <c r="G4" s="14"/>
      <c r="H4" s="15" t="s">
        <v>45</v>
      </c>
      <c r="I4" s="15"/>
      <c r="J4" s="14" t="s">
        <v>43</v>
      </c>
      <c r="K4" s="14"/>
      <c r="L4" s="14"/>
      <c r="M4" s="14" t="s">
        <v>44</v>
      </c>
      <c r="N4" s="14"/>
      <c r="O4" s="14"/>
      <c r="P4" s="15" t="s">
        <v>45</v>
      </c>
      <c r="Q4" s="15"/>
      <c r="R4" s="3"/>
    </row>
    <row r="5" ht="27" customHeight="1" spans="1:33">
      <c r="A5" s="3"/>
      <c r="B5" s="14" t="s">
        <v>46</v>
      </c>
      <c r="C5" s="14" t="s">
        <v>47</v>
      </c>
      <c r="D5" s="14" t="s">
        <v>48</v>
      </c>
      <c r="E5" s="14" t="s">
        <v>46</v>
      </c>
      <c r="F5" s="14" t="s">
        <v>47</v>
      </c>
      <c r="G5" s="14" t="s">
        <v>48</v>
      </c>
      <c r="H5" s="15" t="s">
        <v>47</v>
      </c>
      <c r="I5" s="15" t="s">
        <v>48</v>
      </c>
      <c r="J5" s="14" t="s">
        <v>46</v>
      </c>
      <c r="K5" s="14" t="s">
        <v>47</v>
      </c>
      <c r="L5" s="14" t="s">
        <v>48</v>
      </c>
      <c r="M5" s="14" t="s">
        <v>46</v>
      </c>
      <c r="N5" s="14" t="s">
        <v>47</v>
      </c>
      <c r="O5" s="14" t="s">
        <v>48</v>
      </c>
      <c r="P5" s="15" t="s">
        <v>47</v>
      </c>
      <c r="Q5" s="15" t="s">
        <v>48</v>
      </c>
      <c r="R5" s="3"/>
    </row>
    <row r="6" ht="52" customHeight="1" spans="1:33">
      <c r="A6" s="36" t="s">
        <v>15</v>
      </c>
      <c r="B6" s="37">
        <f>VLOOKUP($A6,'[1]筑科案场+义乌小业主'!$B$5:$T$14,2,0)-VLOOKUP($A6,'[1]筑科案场+义乌小业主'!$B$5:$T$14,3,0)</f>
        <v>55.422042</v>
      </c>
      <c r="C6" s="37">
        <f>VLOOKUP($A6,'[1]筑科案场+义乌小业主'!$B$5:$T$14,4,0)</f>
        <v>0</v>
      </c>
      <c r="D6" s="38">
        <f>C6/B6</f>
        <v>0</v>
      </c>
      <c r="E6" s="37">
        <f>VLOOKUP($A6,'[1]筑科案场+义乌小业主'!$B$5:$T$14,6,0)-VLOOKUP($A6,'[1]筑科案场+义乌小业主'!$B$5:$T$14,7,0)</f>
        <v>94.79829</v>
      </c>
      <c r="F6" s="37">
        <f>VLOOKUP($A6,'[1]筑科案场+义乌小业主'!$B$5:$T$14,8,0)</f>
        <v>10</v>
      </c>
      <c r="G6" s="38">
        <f>F6/E6</f>
        <v>0.105487134841778</v>
      </c>
      <c r="H6" s="37">
        <f>C6-F6</f>
        <v>-10</v>
      </c>
      <c r="I6" s="38">
        <f>D6-G6</f>
        <v>-0.105487134841778</v>
      </c>
      <c r="J6" s="37">
        <f>VLOOKUP($A6,'[1]筑科案场+义乌小业主'!$B$5:$T$14,12,0)-VLOOKUP($A6,'[1]筑科案场+义乌小业主'!$B$5:$T$14,13,0)</f>
        <v>268.982451</v>
      </c>
      <c r="K6" s="37">
        <f>VLOOKUP($A6,'[1]筑科案场+义乌小业主'!$B$5:$T$14,14,0)</f>
        <v>61.85</v>
      </c>
      <c r="L6" s="38">
        <f>K6/J6</f>
        <v>0.229940651407032</v>
      </c>
      <c r="M6" s="37">
        <f>VLOOKUP($A6,'[1]筑科案场+义乌小业主'!$B$5:$T$14,16,0)-VLOOKUP($A6,'[1]筑科案场+义乌小业主'!$B$5:$T$14,17,0)</f>
        <v>135.267752</v>
      </c>
      <c r="N6" s="37">
        <f>VLOOKUP($A6,'[1]筑科案场+义乌小业主'!$B$5:$T$14,18,0)</f>
        <v>18.619384</v>
      </c>
      <c r="O6" s="38">
        <f>N6/M6</f>
        <v>0.137648358346341</v>
      </c>
      <c r="P6" s="37">
        <f>K6-N6</f>
        <v>43.230616</v>
      </c>
      <c r="Q6" s="38">
        <f>L6-O6</f>
        <v>0.0922922930606906</v>
      </c>
      <c r="R6" s="39"/>
    </row>
    <row r="7" ht="52" customHeight="1" spans="1:33">
      <c r="A7" s="36" t="s">
        <v>21</v>
      </c>
      <c r="B7" s="37">
        <f>VLOOKUP($A7,'[1]筑科案场+义乌小业主'!$B$5:$T$14,2,0)-VLOOKUP($A7,'[1]筑科案场+义乌小业主'!$B$5:$T$14,3,0)</f>
        <v>240.922153</v>
      </c>
      <c r="C7" s="37">
        <f>VLOOKUP($A7,'[1]筑科案场+义乌小业主'!$B$5:$T$14,4,0)</f>
        <v>0.873301</v>
      </c>
      <c r="D7" s="38">
        <f>C7/B7</f>
        <v>0.00362482648077614</v>
      </c>
      <c r="E7" s="37">
        <f>VLOOKUP($A7,'[1]筑科案场+义乌小业主'!$B$5:$T$14,6,0)-VLOOKUP($A7,'[1]筑科案场+义乌小业主'!$B$5:$T$14,7,0)</f>
        <v>239.927146</v>
      </c>
      <c r="F7" s="37">
        <f>VLOOKUP($A7,'[1]筑科案场+义乌小业主'!$B$5:$T$14,8,0)</f>
        <v>0.507084</v>
      </c>
      <c r="G7" s="38">
        <f>F7/E7</f>
        <v>0.00211349156797789</v>
      </c>
      <c r="H7" s="37">
        <f>C7-F7</f>
        <v>0.366217</v>
      </c>
      <c r="I7" s="38">
        <f>D7-G7</f>
        <v>0.00151133491279825</v>
      </c>
      <c r="J7" s="37">
        <f>VLOOKUP($A7,'[1]筑科案场+义乌小业主'!$B$5:$T$14,12,0)-VLOOKUP($A7,'[1]筑科案场+义乌小业主'!$B$5:$T$14,13,0)</f>
        <v>652.368605</v>
      </c>
      <c r="K7" s="37">
        <f>VLOOKUP($A7,'[1]筑科案场+义乌小业主'!$B$5:$T$14,14,0)</f>
        <v>140.667289</v>
      </c>
      <c r="L7" s="38">
        <f>K7/J7</f>
        <v>0.215625472964016</v>
      </c>
      <c r="M7" s="37">
        <f>VLOOKUP($A7,'[1]筑科案场+义乌小业主'!$B$5:$T$14,16,0)-VLOOKUP($A7,'[1]筑科案场+义乌小业主'!$B$5:$T$14,17,0)</f>
        <v>481.439013</v>
      </c>
      <c r="N7" s="37">
        <f>VLOOKUP($A7,'[1]筑科案场+义乌小业主'!$B$5:$T$14,18,0)</f>
        <v>257.90708</v>
      </c>
      <c r="O7" s="38">
        <f>N7/M7</f>
        <v>0.5357004169498</v>
      </c>
      <c r="P7" s="37">
        <f>K7-N7</f>
        <v>-117.239791</v>
      </c>
      <c r="Q7" s="38">
        <f>L7-O7</f>
        <v>-0.320074943985784</v>
      </c>
      <c r="R7" s="40"/>
    </row>
    <row r="8" ht="52" customHeight="1" spans="1:33">
      <c r="A8" s="36" t="s">
        <v>16</v>
      </c>
      <c r="B8" s="37">
        <f>VLOOKUP($A8,'[1]筑科案场+义乌小业主'!$B$5:$T$14,2,0)-VLOOKUP($A8,'[1]筑科案场+义乌小业主'!$B$5:$T$14,3,0)</f>
        <v>274.827435</v>
      </c>
      <c r="C8" s="37">
        <f>VLOOKUP($A8,'[1]筑科案场+义乌小业主'!$B$5:$T$14,4,0)</f>
        <v>59.701124</v>
      </c>
      <c r="D8" s="38">
        <f>C8/B8</f>
        <v>0.21723131098611</v>
      </c>
      <c r="E8" s="37">
        <f>VLOOKUP($A8,'[1]筑科案场+义乌小业主'!$B$5:$T$14,6,0)-VLOOKUP($A8,'[1]筑科案场+义乌小业主'!$B$5:$T$14,7,0)</f>
        <v>259.448203</v>
      </c>
      <c r="F8" s="37">
        <f>VLOOKUP($A8,'[1]筑科案场+义乌小业主'!$B$5:$T$14,8,0)</f>
        <v>120.778936</v>
      </c>
      <c r="G8" s="38">
        <f>F8/E8</f>
        <v>0.465522345514183</v>
      </c>
      <c r="H8" s="37">
        <f>C8-F8</f>
        <v>-61.077812</v>
      </c>
      <c r="I8" s="38">
        <f>D8-G8</f>
        <v>-0.248291034528073</v>
      </c>
      <c r="J8" s="37">
        <f>VLOOKUP($A8,'[1]筑科案场+义乌小业主'!$B$5:$T$14,12,0)-VLOOKUP($A8,'[1]筑科案场+义乌小业主'!$B$5:$T$14,13,0)</f>
        <v>154.993327</v>
      </c>
      <c r="K8" s="37">
        <f>VLOOKUP($A8,'[1]筑科案场+义乌小业主'!$B$5:$T$14,14,0)</f>
        <v>128.699792</v>
      </c>
      <c r="L8" s="38">
        <f>K8/J8</f>
        <v>0.83035698691725</v>
      </c>
      <c r="M8" s="37">
        <f>VLOOKUP($A8,'[1]筑科案场+义乌小业主'!$B$5:$T$14,16,0)-VLOOKUP($A8,'[1]筑科案场+义乌小业主'!$B$5:$T$14,17,0)</f>
        <v>79.879141</v>
      </c>
      <c r="N8" s="37">
        <f>VLOOKUP($A8,'[1]筑科案场+义乌小业主'!$B$5:$T$14,18,0)</f>
        <v>51.381355</v>
      </c>
      <c r="O8" s="38">
        <f>N8/M8</f>
        <v>0.64323870232906</v>
      </c>
      <c r="P8" s="37">
        <f>K8-N8</f>
        <v>77.318437</v>
      </c>
      <c r="Q8" s="38">
        <f>L8-O8</f>
        <v>0.18711828458819</v>
      </c>
      <c r="R8" s="39"/>
    </row>
    <row r="9" ht="52" customHeight="1" spans="1:33">
      <c r="A9" s="36" t="s">
        <v>32</v>
      </c>
      <c r="B9" s="37">
        <f>SUM(B6:B8)</f>
        <v>571.17163</v>
      </c>
      <c r="C9" s="37">
        <f>SUM(C6:C8)</f>
        <v>60.574425</v>
      </c>
      <c r="D9" s="38">
        <f>C9/B9</f>
        <v>0.106052930184925</v>
      </c>
      <c r="E9" s="37">
        <f>SUM(E6:E8)</f>
        <v>594.173639</v>
      </c>
      <c r="F9" s="37">
        <f>SUM(F6:F8)</f>
        <v>131.28602</v>
      </c>
      <c r="G9" s="38">
        <f>F9/E9</f>
        <v>0.220955645593695</v>
      </c>
      <c r="H9" s="37">
        <f>SUM(H6:H8)</f>
        <v>-70.711595</v>
      </c>
      <c r="I9" s="38">
        <f>D9-G9</f>
        <v>-0.11490271540877</v>
      </c>
      <c r="J9" s="37">
        <f>SUM(J6:J8)</f>
        <v>1076.344383</v>
      </c>
      <c r="K9" s="37">
        <f>SUM(K6:K8)</f>
        <v>331.217081</v>
      </c>
      <c r="L9" s="38">
        <f>K9/J9</f>
        <v>0.307724076263424</v>
      </c>
      <c r="M9" s="37">
        <f>SUM(M6:M8)</f>
        <v>696.585906</v>
      </c>
      <c r="N9" s="37">
        <f>SUM(N6:N8)</f>
        <v>327.907819</v>
      </c>
      <c r="O9" s="38">
        <f>N9/M9</f>
        <v>0.470735649652952</v>
      </c>
      <c r="P9" s="37">
        <f>SUM(P6:P8)</f>
        <v>3.309262</v>
      </c>
      <c r="Q9" s="38">
        <f>L9-O9</f>
        <v>-0.163011573389528</v>
      </c>
      <c r="R9" s="39"/>
    </row>
  </sheetData>
  <mergeCells count="12">
    <mergeCell ref="A1:R1"/>
    <mergeCell ref="A2:Q2"/>
    <mergeCell ref="B3:I3"/>
    <mergeCell ref="J3:Q3"/>
    <mergeCell ref="B4:D4"/>
    <mergeCell ref="E4:G4"/>
    <mergeCell ref="H4:I4"/>
    <mergeCell ref="J4:L4"/>
    <mergeCell ref="M4:O4"/>
    <mergeCell ref="P4:Q4"/>
    <mergeCell ref="A3:A5"/>
    <mergeCell ref="R3:R5"/>
  </mergeCells>
  <pageMargins left="0.472222222222222" right="0.432638888888889" top="0.984027777777778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9"/>
  <sheetViews>
    <sheetView tabSelected="1" zoomScale="85" zoomScaleNormal="85" workbookViewId="0">
      <selection activeCell="H9" sqref="H9"/>
    </sheetView>
  </sheetViews>
  <sheetFormatPr defaultColWidth="7.04166666666667" defaultRowHeight="30" customHeight="1"/>
  <cols>
    <col min="1" max="1" width="23.675" style="9" customWidth="1"/>
    <col min="2" max="4" width="7.04166666666667" style="10" customWidth="1"/>
    <col min="5" max="7" width="7.04166666666667" style="10" hidden="1" customWidth="1"/>
    <col min="8" max="12" width="7.04166666666667" style="10" customWidth="1"/>
    <col min="13" max="15" width="7.04166666666667" style="10" hidden="1" customWidth="1"/>
    <col min="16" max="20" width="7.04166666666667" style="10" customWidth="1"/>
    <col min="21" max="23" width="7.04166666666667" style="10" hidden="1" customWidth="1"/>
    <col min="24" max="28" width="7.04166666666667" style="10" customWidth="1"/>
    <col min="29" max="31" width="7.04166666666667" style="10" hidden="1" customWidth="1"/>
    <col min="32" max="16384" width="7.04166666666667" style="10" customWidth="1"/>
  </cols>
  <sheetData>
    <row r="1" customHeight="1" spans="1:33">
      <c r="A1" s="11" t="s">
        <v>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customHeight="1" spans="1:33">
      <c r="A2" s="12" t="s">
        <v>90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customHeight="1" spans="1:33">
      <c r="A3" s="13" t="s">
        <v>92</v>
      </c>
      <c r="B3" s="14" t="s">
        <v>93</v>
      </c>
      <c r="C3" s="14"/>
      <c r="D3" s="14"/>
      <c r="E3" s="14"/>
      <c r="F3" s="14"/>
      <c r="G3" s="14"/>
      <c r="H3" s="14"/>
      <c r="I3" s="14"/>
      <c r="J3" s="14" t="s">
        <v>94</v>
      </c>
      <c r="K3" s="14"/>
      <c r="L3" s="14"/>
      <c r="M3" s="14"/>
      <c r="N3" s="14"/>
      <c r="O3" s="14"/>
      <c r="P3" s="14"/>
      <c r="Q3" s="14"/>
      <c r="R3" s="14" t="s">
        <v>63</v>
      </c>
      <c r="S3" s="14"/>
      <c r="T3" s="14"/>
      <c r="U3" s="14"/>
      <c r="V3" s="14"/>
      <c r="W3" s="14"/>
      <c r="X3" s="14"/>
      <c r="Y3" s="14"/>
      <c r="Z3" s="14" t="s">
        <v>32</v>
      </c>
      <c r="AA3" s="14"/>
      <c r="AB3" s="14"/>
      <c r="AC3" s="14"/>
      <c r="AD3" s="14"/>
      <c r="AE3" s="14"/>
      <c r="AF3" s="14"/>
      <c r="AG3" s="14"/>
    </row>
    <row r="4" customHeight="1" spans="1:33">
      <c r="A4" s="13"/>
      <c r="B4" s="14" t="s">
        <v>43</v>
      </c>
      <c r="C4" s="14"/>
      <c r="D4" s="14"/>
      <c r="E4" s="14" t="s">
        <v>44</v>
      </c>
      <c r="F4" s="14"/>
      <c r="G4" s="14"/>
      <c r="H4" s="15" t="s">
        <v>45</v>
      </c>
      <c r="I4" s="15"/>
      <c r="J4" s="14" t="s">
        <v>43</v>
      </c>
      <c r="K4" s="14"/>
      <c r="L4" s="14"/>
      <c r="M4" s="14" t="s">
        <v>44</v>
      </c>
      <c r="N4" s="14"/>
      <c r="O4" s="14"/>
      <c r="P4" s="15" t="s">
        <v>45</v>
      </c>
      <c r="Q4" s="15"/>
      <c r="R4" s="14" t="s">
        <v>43</v>
      </c>
      <c r="S4" s="14"/>
      <c r="T4" s="14"/>
      <c r="U4" s="14" t="s">
        <v>44</v>
      </c>
      <c r="V4" s="14"/>
      <c r="W4" s="14"/>
      <c r="X4" s="15" t="s">
        <v>45</v>
      </c>
      <c r="Y4" s="15"/>
      <c r="Z4" s="14" t="s">
        <v>43</v>
      </c>
      <c r="AA4" s="14"/>
      <c r="AB4" s="14"/>
      <c r="AC4" s="14" t="s">
        <v>44</v>
      </c>
      <c r="AD4" s="14"/>
      <c r="AE4" s="14"/>
      <c r="AF4" s="15" t="s">
        <v>45</v>
      </c>
      <c r="AG4" s="15"/>
    </row>
    <row r="5" customHeight="1" spans="1:33">
      <c r="A5" s="13"/>
      <c r="B5" s="14" t="s">
        <v>46</v>
      </c>
      <c r="C5" s="14" t="s">
        <v>47</v>
      </c>
      <c r="D5" s="14" t="s">
        <v>48</v>
      </c>
      <c r="E5" s="14" t="s">
        <v>46</v>
      </c>
      <c r="F5" s="14" t="s">
        <v>47</v>
      </c>
      <c r="G5" s="14" t="s">
        <v>48</v>
      </c>
      <c r="H5" s="15" t="s">
        <v>47</v>
      </c>
      <c r="I5" s="15" t="s">
        <v>48</v>
      </c>
      <c r="J5" s="14" t="s">
        <v>46</v>
      </c>
      <c r="K5" s="14" t="s">
        <v>47</v>
      </c>
      <c r="L5" s="14" t="s">
        <v>48</v>
      </c>
      <c r="M5" s="14" t="s">
        <v>46</v>
      </c>
      <c r="N5" s="14" t="s">
        <v>47</v>
      </c>
      <c r="O5" s="14" t="s">
        <v>48</v>
      </c>
      <c r="P5" s="15" t="s">
        <v>47</v>
      </c>
      <c r="Q5" s="15" t="s">
        <v>48</v>
      </c>
      <c r="R5" s="14" t="s">
        <v>46</v>
      </c>
      <c r="S5" s="14" t="s">
        <v>47</v>
      </c>
      <c r="T5" s="14" t="s">
        <v>48</v>
      </c>
      <c r="U5" s="14" t="s">
        <v>46</v>
      </c>
      <c r="V5" s="14" t="s">
        <v>47</v>
      </c>
      <c r="W5" s="14" t="s">
        <v>48</v>
      </c>
      <c r="X5" s="15" t="s">
        <v>47</v>
      </c>
      <c r="Y5" s="15" t="s">
        <v>48</v>
      </c>
      <c r="Z5" s="14" t="s">
        <v>46</v>
      </c>
      <c r="AA5" s="14" t="s">
        <v>47</v>
      </c>
      <c r="AB5" s="14" t="s">
        <v>48</v>
      </c>
      <c r="AC5" s="14" t="s">
        <v>46</v>
      </c>
      <c r="AD5" s="14" t="s">
        <v>47</v>
      </c>
      <c r="AE5" s="14" t="s">
        <v>48</v>
      </c>
      <c r="AF5" s="15" t="s">
        <v>47</v>
      </c>
      <c r="AG5" s="15" t="s">
        <v>48</v>
      </c>
    </row>
    <row r="6" customHeight="1" spans="1:33">
      <c r="A6" s="16" t="s">
        <v>95</v>
      </c>
      <c r="B6" s="17">
        <f>VLOOKUP($A6,'[1]筑科案场+义乌小业主'!$B$22:$AD$23,2,0)-VLOOKUP($A6,'[1]筑科案场+义乌小业主'!$B$22:$AD$23,3,0)</f>
        <v>460.231026</v>
      </c>
      <c r="C6" s="17">
        <f>VLOOKUP($A6,'[1]筑科案场+义乌小业主'!$B$22:$AD$23,4,0)</f>
        <v>86.733073</v>
      </c>
      <c r="D6" s="18">
        <f>C6/B6</f>
        <v>0.188455510602625</v>
      </c>
      <c r="E6" s="17">
        <f>VLOOKUP($A6,'[1]筑科案场+义乌小业主'!$B$22:$AD$23,18,0)-VLOOKUP($A6,'[1]筑科案场+义乌小业主'!$B$22:$AD$23,19,0)</f>
        <v>460.930656</v>
      </c>
      <c r="F6" s="17">
        <f>VLOOKUP($A6,'[1]筑科案场+义乌小业主'!$B$22:$AD$23,20,0)</f>
        <v>130.691188</v>
      </c>
      <c r="G6" s="18">
        <f t="shared" ref="G6:G9" si="0">F6/E6</f>
        <v>0.283537634780361</v>
      </c>
      <c r="H6" s="17">
        <f>C6-F6</f>
        <v>-43.958115</v>
      </c>
      <c r="I6" s="18">
        <f>D6-G6</f>
        <v>-0.0950821241777355</v>
      </c>
      <c r="J6" s="17">
        <f>VLOOKUP($A6,'[1]筑科案场+义乌小业主'!$B$22:$AD$23,6,0)-VLOOKUP($A6,'[1]筑科案场+义乌小业主'!$B$22:$AD$23,7,0)</f>
        <v>0.481351</v>
      </c>
      <c r="K6" s="17">
        <f>VLOOKUP($A6,'[1]筑科案场+义乌小业主'!$B$22:$AD$23,8,0)</f>
        <v>0.481351</v>
      </c>
      <c r="L6" s="18">
        <f t="shared" ref="L6:L9" si="1">K6/J6</f>
        <v>1</v>
      </c>
      <c r="M6" s="17">
        <f>VLOOKUP($A6,'[1]筑科案场+义乌小业主'!$B$22:$AD$23,22,0)-VLOOKUP($A6,'[1]筑科案场+义乌小业主'!$B$22:$AD$23,23,0)</f>
        <v>0.330765</v>
      </c>
      <c r="N6" s="17">
        <f>VLOOKUP($A6,'[1]筑科案场+义乌小业主'!$B$22:$AD$23,24,0)</f>
        <v>0.138483</v>
      </c>
      <c r="O6" s="18">
        <f t="shared" ref="O6:O9" si="2">N6/M6</f>
        <v>0.418674890027663</v>
      </c>
      <c r="P6" s="19">
        <f t="shared" ref="P6:P9" si="3">K6-N6</f>
        <v>0.342868</v>
      </c>
      <c r="Q6" s="18">
        <f t="shared" ref="Q6:Q9" si="4">L6-O6</f>
        <v>0.581325109972337</v>
      </c>
      <c r="R6" s="17">
        <f>VLOOKUP($A6,'[1]筑科案场+义乌小业主'!$B$22:$AD$23,10,0)-VLOOKUP($A6,'[1]筑科案场+义乌小业主'!$B$22:$AD$23,11,0)</f>
        <v>55.372802</v>
      </c>
      <c r="S6" s="17">
        <f>VLOOKUP($A6,'[1]筑科案场+义乌小业主'!$B$22:$AD$23,12,0)</f>
        <v>10.748558</v>
      </c>
      <c r="T6" s="18">
        <f t="shared" ref="T6:T9" si="5">S6/R6</f>
        <v>0.194112589787311</v>
      </c>
      <c r="U6" s="17">
        <f>VLOOKUP($A6,'[1]筑科案场+义乌小业主'!$B$22:$AD$23,26,0)-VLOOKUP($A6,'[1]筑科案场+义乌小业主'!$B$22:$AD$23,27,0)</f>
        <v>64.369417</v>
      </c>
      <c r="V6" s="17">
        <f>VLOOKUP($A6,'[1]筑科案场+义乌小业主'!$B$22:$AD$23,28,0)</f>
        <v>24.607612</v>
      </c>
      <c r="W6" s="18">
        <f t="shared" ref="W6:W9" si="6">V6/U6</f>
        <v>0.382287321322174</v>
      </c>
      <c r="X6" s="17">
        <f t="shared" ref="X6:X9" si="7">S6-V6</f>
        <v>-13.859054</v>
      </c>
      <c r="Y6" s="18">
        <f t="shared" ref="Y6:Y9" si="8">T6-W6</f>
        <v>-0.188174731534863</v>
      </c>
      <c r="Z6" s="17">
        <f t="shared" ref="Z6:Z9" si="9">B6+J6+R6</f>
        <v>516.085179</v>
      </c>
      <c r="AA6" s="17">
        <f t="shared" ref="AA6:AA9" si="10">C6+K6+S6</f>
        <v>97.962982</v>
      </c>
      <c r="AB6" s="18">
        <f t="shared" ref="AB6:AB9" si="11">AA6/Z6</f>
        <v>0.189819405761311</v>
      </c>
      <c r="AC6" s="17">
        <f t="shared" ref="AC6:AC9" si="12">E6+M6+U6</f>
        <v>525.630838</v>
      </c>
      <c r="AD6" s="17">
        <f t="shared" ref="AD6:AD9" si="13">F6+N6+V6</f>
        <v>155.437283</v>
      </c>
      <c r="AE6" s="18">
        <f t="shared" ref="AE6:AE9" si="14">AD6/AC6</f>
        <v>0.295715684398258</v>
      </c>
      <c r="AF6" s="17">
        <f t="shared" ref="AF6:AF9" si="15">AA6-AD6</f>
        <v>-57.474301</v>
      </c>
      <c r="AG6" s="18">
        <f>AB6-AE6</f>
        <v>-0.105896278636947</v>
      </c>
    </row>
    <row r="7" customHeight="1" spans="1:33">
      <c r="A7" s="16" t="s">
        <v>96</v>
      </c>
      <c r="B7" s="17">
        <f>VLOOKUP($A7,'[1]筑科案场+义乌小业主'!$B$22:$AD$23,2,0)-VLOOKUP($A7,'[1]筑科案场+义乌小业主'!$B$22:$AD$23,3,0)</f>
        <v>369.046496</v>
      </c>
      <c r="C7" s="17">
        <f>VLOOKUP($A7,'[1]筑科案场+义乌小业主'!$B$22:$AD$23,4,0)</f>
        <v>42.57806</v>
      </c>
      <c r="D7" s="18">
        <f>C7/B7</f>
        <v>0.115373158833623</v>
      </c>
      <c r="E7" s="17">
        <f>VLOOKUP($A7,'[1]筑科案场+义乌小业主'!$B$22:$AD$23,18,0)-VLOOKUP($A7,'[1]筑科案场+义乌小业主'!$B$22:$AD$23,19,0)</f>
        <v>430.767062</v>
      </c>
      <c r="F7" s="17">
        <f>VLOOKUP($A7,'[1]筑科案场+义乌小业主'!$B$22:$AD$23,20,0)</f>
        <v>95.202466</v>
      </c>
      <c r="G7" s="18">
        <f t="shared" si="0"/>
        <v>0.221006837333352</v>
      </c>
      <c r="H7" s="17">
        <f>C7-F7</f>
        <v>-52.624406</v>
      </c>
      <c r="I7" s="18">
        <f>D7-G7</f>
        <v>-0.105633678499729</v>
      </c>
      <c r="J7" s="17">
        <f>VLOOKUP($A7,'[1]筑科案场+义乌小业主'!$B$22:$AD$23,6,0)-VLOOKUP($A7,'[1]筑科案场+义乌小业主'!$B$22:$AD$23,7,0)</f>
        <v>0.598901</v>
      </c>
      <c r="K7" s="17">
        <f>VLOOKUP($A7,'[1]筑科案场+义乌小业主'!$B$22:$AD$23,8,0)</f>
        <v>0.598901</v>
      </c>
      <c r="L7" s="18">
        <f t="shared" si="1"/>
        <v>1</v>
      </c>
      <c r="M7" s="17">
        <f>VLOOKUP($A7,'[1]筑科案场+义乌小业主'!$B$22:$AD$23,22,0)-VLOOKUP($A7,'[1]筑科案场+义乌小业主'!$B$22:$AD$23,23,0)</f>
        <v>0.402694</v>
      </c>
      <c r="N7" s="17">
        <f>VLOOKUP($A7,'[1]筑科案场+义乌小业主'!$B$22:$AD$23,24,0)</f>
        <v>0.169308</v>
      </c>
      <c r="O7" s="18">
        <f t="shared" si="2"/>
        <v>0.420438347728052</v>
      </c>
      <c r="P7" s="19">
        <f t="shared" si="3"/>
        <v>0.429593</v>
      </c>
      <c r="Q7" s="18">
        <f t="shared" si="4"/>
        <v>0.579561652271948</v>
      </c>
      <c r="R7" s="17">
        <f>VLOOKUP($A7,'[1]筑科案场+义乌小业主'!$B$22:$AD$23,10,0)-VLOOKUP($A7,'[1]筑科案场+义乌小业主'!$B$22:$AD$23,11,0)</f>
        <v>45.375757</v>
      </c>
      <c r="S7" s="17">
        <f>VLOOKUP($A7,'[1]筑科案场+义乌小业主'!$B$22:$AD$23,12,0)</f>
        <v>5.520773</v>
      </c>
      <c r="T7" s="18">
        <f t="shared" si="5"/>
        <v>0.121667898565307</v>
      </c>
      <c r="U7" s="17">
        <f>VLOOKUP($A7,'[1]筑科案场+义乌小业主'!$B$22:$AD$23,26,0)-VLOOKUP($A7,'[1]筑科案场+义乌小业主'!$B$22:$AD$23,27,0)</f>
        <v>49.797458</v>
      </c>
      <c r="V7" s="17">
        <f>VLOOKUP($A7,'[1]筑科案场+义乌小业主'!$B$22:$AD$23,28,0)</f>
        <v>5.553072</v>
      </c>
      <c r="W7" s="18">
        <f t="shared" si="6"/>
        <v>0.111513161977063</v>
      </c>
      <c r="X7" s="17">
        <f t="shared" si="7"/>
        <v>-0.0322990000000001</v>
      </c>
      <c r="Y7" s="18">
        <f t="shared" si="8"/>
        <v>0.0101547365882434</v>
      </c>
      <c r="Z7" s="17">
        <f t="shared" si="9"/>
        <v>415.021154</v>
      </c>
      <c r="AA7" s="17">
        <f t="shared" si="10"/>
        <v>48.697734</v>
      </c>
      <c r="AB7" s="18">
        <f t="shared" si="11"/>
        <v>0.117337956223793</v>
      </c>
      <c r="AC7" s="17">
        <f t="shared" si="12"/>
        <v>480.967214</v>
      </c>
      <c r="AD7" s="17">
        <f t="shared" si="13"/>
        <v>100.924846</v>
      </c>
      <c r="AE7" s="18">
        <f t="shared" si="14"/>
        <v>0.209837267618828</v>
      </c>
      <c r="AF7" s="17">
        <f t="shared" si="15"/>
        <v>-52.227112</v>
      </c>
      <c r="AG7" s="18">
        <f>AB7-AE7</f>
        <v>-0.0924993113950349</v>
      </c>
    </row>
    <row r="8" customHeight="1" spans="1:33">
      <c r="A8" s="16" t="s">
        <v>32</v>
      </c>
      <c r="B8" s="17">
        <f>SUM(B6:B7)</f>
        <v>829.277522</v>
      </c>
      <c r="C8" s="17">
        <f>SUM(C6:C7)</f>
        <v>129.311133</v>
      </c>
      <c r="D8" s="18">
        <f>C8/B8</f>
        <v>0.155932277879829</v>
      </c>
      <c r="E8" s="17">
        <f>SUM(E6:E7)</f>
        <v>891.697718</v>
      </c>
      <c r="F8" s="17">
        <f>SUM(F6:F7)</f>
        <v>225.893654</v>
      </c>
      <c r="G8" s="18">
        <f t="shared" si="0"/>
        <v>0.253329855443232</v>
      </c>
      <c r="H8" s="17">
        <f>C8-F8</f>
        <v>-96.582521</v>
      </c>
      <c r="I8" s="18">
        <f>D8-G8</f>
        <v>-0.0973975775634032</v>
      </c>
      <c r="J8" s="17">
        <f>SUM(J6:J7)</f>
        <v>1.080252</v>
      </c>
      <c r="K8" s="17">
        <f>SUM(K6:K7)</f>
        <v>1.080252</v>
      </c>
      <c r="L8" s="18">
        <f t="shared" si="1"/>
        <v>1</v>
      </c>
      <c r="M8" s="19">
        <f>SUM(M6:M7)</f>
        <v>0.733459</v>
      </c>
      <c r="N8" s="19">
        <f>SUM(N6:N7)</f>
        <v>0.307791</v>
      </c>
      <c r="O8" s="18">
        <f t="shared" si="2"/>
        <v>0.419643088434391</v>
      </c>
      <c r="P8" s="19">
        <f t="shared" si="3"/>
        <v>0.772461</v>
      </c>
      <c r="Q8" s="18">
        <f t="shared" si="4"/>
        <v>0.580356911565609</v>
      </c>
      <c r="R8" s="17">
        <f>SUM(R6:R7)</f>
        <v>100.748559</v>
      </c>
      <c r="S8" s="17">
        <f>SUM(S6:S7)</f>
        <v>16.269331</v>
      </c>
      <c r="T8" s="18">
        <f t="shared" si="5"/>
        <v>0.16148450321756</v>
      </c>
      <c r="U8" s="17">
        <f>SUM(U6:U7)</f>
        <v>114.166875</v>
      </c>
      <c r="V8" s="17">
        <f>SUM(V6:V7)</f>
        <v>30.160684</v>
      </c>
      <c r="W8" s="18">
        <f t="shared" si="6"/>
        <v>0.264180691641074</v>
      </c>
      <c r="X8" s="17">
        <f t="shared" si="7"/>
        <v>-13.891353</v>
      </c>
      <c r="Y8" s="18">
        <f t="shared" si="8"/>
        <v>-0.102696188423514</v>
      </c>
      <c r="Z8" s="17">
        <f>SUM(Z6:Z7)</f>
        <v>931.106333</v>
      </c>
      <c r="AA8" s="17">
        <f>SUM(AA6:AA7)</f>
        <v>146.660716</v>
      </c>
      <c r="AB8" s="18">
        <f t="shared" si="11"/>
        <v>0.157512317124364</v>
      </c>
      <c r="AC8" s="17">
        <f>SUM(AC6:AC7)</f>
        <v>1006.598052</v>
      </c>
      <c r="AD8" s="17">
        <f>SUM(AD6:AD7)</f>
        <v>256.362129</v>
      </c>
      <c r="AE8" s="18">
        <f t="shared" si="14"/>
        <v>0.254681725730182</v>
      </c>
      <c r="AF8" s="17">
        <f t="shared" si="15"/>
        <v>-109.701413</v>
      </c>
      <c r="AG8" s="18">
        <f>AB8-AE8</f>
        <v>-0.0971694086058182</v>
      </c>
    </row>
    <row r="9" ht="37" customHeight="1" spans="1:33">
      <c r="A9" s="20" t="s">
        <v>97</v>
      </c>
      <c r="B9" s="17">
        <f>'当期-费项'!B12-B8</f>
        <v>4699.867236</v>
      </c>
      <c r="C9" s="17">
        <f>'当期-费项'!C12-C8</f>
        <v>3425.820278</v>
      </c>
      <c r="D9" s="18">
        <f>C9/B9</f>
        <v>0.728918521731621</v>
      </c>
      <c r="E9" s="17">
        <f>'当期-费项'!E12-E8</f>
        <v>4619.205978</v>
      </c>
      <c r="F9" s="17">
        <f>'当期-费项'!F12-F8</f>
        <v>3588.097766</v>
      </c>
      <c r="G9" s="18">
        <f t="shared" si="0"/>
        <v>0.776778040011447</v>
      </c>
      <c r="H9" s="17">
        <f>C9-F9</f>
        <v>-162.277488</v>
      </c>
      <c r="I9" s="21">
        <f>D9-G9</f>
        <v>-0.047859518279826</v>
      </c>
      <c r="J9" s="17">
        <f>'当期-费项'!J12-J8</f>
        <v>465.404162</v>
      </c>
      <c r="K9" s="17">
        <f>'当期-费项'!K12-K8</f>
        <v>445.700087</v>
      </c>
      <c r="L9" s="18">
        <f t="shared" si="1"/>
        <v>0.957662443508616</v>
      </c>
      <c r="M9" s="17">
        <f>'当期-费项'!M12-M8</f>
        <v>532.894457</v>
      </c>
      <c r="N9" s="17">
        <f>'当期-费项'!N12-N8</f>
        <v>494.601226</v>
      </c>
      <c r="O9" s="18">
        <f t="shared" si="2"/>
        <v>0.928141059647014</v>
      </c>
      <c r="P9" s="17">
        <f t="shared" si="3"/>
        <v>-48.901139</v>
      </c>
      <c r="Q9" s="18">
        <f t="shared" si="4"/>
        <v>0.0295213838616026</v>
      </c>
      <c r="R9" s="17">
        <f>'当期-费项'!R12-R8</f>
        <v>732.025508</v>
      </c>
      <c r="S9" s="17">
        <f>'当期-费项'!S12-S8</f>
        <v>683.056182</v>
      </c>
      <c r="T9" s="18">
        <f t="shared" si="5"/>
        <v>0.933104344773734</v>
      </c>
      <c r="U9" s="17">
        <f>'当期-费项'!U12-U8</f>
        <v>663.812675</v>
      </c>
      <c r="V9" s="17">
        <f>'当期-费项'!V12-V8</f>
        <v>777.026961</v>
      </c>
      <c r="W9" s="18">
        <f t="shared" si="6"/>
        <v>1.17055155808828</v>
      </c>
      <c r="X9" s="17">
        <f t="shared" si="7"/>
        <v>-93.9707790000001</v>
      </c>
      <c r="Y9" s="21">
        <f t="shared" si="8"/>
        <v>-0.237447213314547</v>
      </c>
      <c r="Z9" s="17">
        <f t="shared" si="9"/>
        <v>5897.296906</v>
      </c>
      <c r="AA9" s="17">
        <f t="shared" si="10"/>
        <v>4554.576547</v>
      </c>
      <c r="AB9" s="18">
        <f t="shared" si="11"/>
        <v>0.772315964347345</v>
      </c>
      <c r="AC9" s="17">
        <f t="shared" si="12"/>
        <v>5815.91311</v>
      </c>
      <c r="AD9" s="17">
        <f t="shared" si="13"/>
        <v>4859.725953</v>
      </c>
      <c r="AE9" s="18">
        <f t="shared" si="14"/>
        <v>0.835591223782915</v>
      </c>
      <c r="AF9" s="17">
        <f t="shared" si="15"/>
        <v>-305.149405999999</v>
      </c>
      <c r="AG9" s="21">
        <f>AB9-AE9</f>
        <v>-0.0632752594355704</v>
      </c>
    </row>
    <row r="10" customHeight="1" spans="1:3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customHeight="1" spans="1:33">
      <c r="A11" s="11" t="s">
        <v>98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customHeight="1" spans="1:33">
      <c r="A12" s="12" t="s">
        <v>71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customHeight="1" spans="1:33">
      <c r="A13" s="13" t="s">
        <v>92</v>
      </c>
      <c r="B13" s="14" t="s">
        <v>72</v>
      </c>
      <c r="C13" s="14"/>
      <c r="D13" s="14"/>
      <c r="E13" s="14"/>
      <c r="F13" s="14"/>
      <c r="G13" s="14"/>
      <c r="H13" s="14"/>
      <c r="I13" s="14"/>
      <c r="J13" s="14" t="s">
        <v>73</v>
      </c>
      <c r="K13" s="14"/>
      <c r="L13" s="14"/>
      <c r="M13" s="14"/>
      <c r="N13" s="14"/>
      <c r="O13" s="14"/>
      <c r="P13" s="14"/>
      <c r="Q13" s="14"/>
      <c r="R13" s="14" t="s">
        <v>74</v>
      </c>
      <c r="S13" s="14"/>
      <c r="T13" s="14"/>
      <c r="U13" s="14"/>
      <c r="V13" s="14"/>
      <c r="W13" s="14"/>
      <c r="X13" s="14"/>
      <c r="Y13" s="14"/>
      <c r="Z13" s="14" t="s">
        <v>32</v>
      </c>
      <c r="AA13" s="14"/>
      <c r="AB13" s="14"/>
      <c r="AC13" s="14"/>
      <c r="AD13" s="14"/>
      <c r="AE13" s="14"/>
      <c r="AF13" s="14"/>
      <c r="AG13" s="14"/>
    </row>
    <row r="14" customHeight="1" spans="1:33">
      <c r="A14" s="13"/>
      <c r="B14" s="22" t="s">
        <v>43</v>
      </c>
      <c r="C14" s="23"/>
      <c r="D14" s="24"/>
      <c r="E14" s="22" t="s">
        <v>44</v>
      </c>
      <c r="F14" s="23"/>
      <c r="G14" s="24"/>
      <c r="H14" s="15" t="s">
        <v>45</v>
      </c>
      <c r="I14" s="15"/>
      <c r="J14" s="22" t="s">
        <v>43</v>
      </c>
      <c r="K14" s="23"/>
      <c r="L14" s="24"/>
      <c r="M14" s="22" t="s">
        <v>44</v>
      </c>
      <c r="N14" s="23"/>
      <c r="O14" s="24"/>
      <c r="P14" s="15" t="s">
        <v>45</v>
      </c>
      <c r="Q14" s="15"/>
      <c r="R14" s="22" t="s">
        <v>43</v>
      </c>
      <c r="S14" s="23"/>
      <c r="T14" s="24"/>
      <c r="U14" s="22" t="s">
        <v>44</v>
      </c>
      <c r="V14" s="23"/>
      <c r="W14" s="24"/>
      <c r="X14" s="15" t="s">
        <v>45</v>
      </c>
      <c r="Y14" s="15"/>
      <c r="Z14" s="22" t="s">
        <v>43</v>
      </c>
      <c r="AA14" s="23"/>
      <c r="AB14" s="24"/>
      <c r="AC14" s="22" t="s">
        <v>44</v>
      </c>
      <c r="AD14" s="23"/>
      <c r="AE14" s="24"/>
      <c r="AF14" s="15" t="s">
        <v>45</v>
      </c>
      <c r="AG14" s="15"/>
    </row>
    <row r="15" customHeight="1" spans="1:33">
      <c r="A15" s="13"/>
      <c r="B15" s="14" t="s">
        <v>46</v>
      </c>
      <c r="C15" s="14" t="s">
        <v>47</v>
      </c>
      <c r="D15" s="14" t="s">
        <v>77</v>
      </c>
      <c r="E15" s="14" t="s">
        <v>46</v>
      </c>
      <c r="F15" s="14" t="s">
        <v>47</v>
      </c>
      <c r="G15" s="14" t="s">
        <v>77</v>
      </c>
      <c r="H15" s="15" t="s">
        <v>47</v>
      </c>
      <c r="I15" s="15" t="s">
        <v>77</v>
      </c>
      <c r="J15" s="14" t="s">
        <v>46</v>
      </c>
      <c r="K15" s="14" t="s">
        <v>47</v>
      </c>
      <c r="L15" s="14" t="s">
        <v>77</v>
      </c>
      <c r="M15" s="14" t="s">
        <v>46</v>
      </c>
      <c r="N15" s="14" t="s">
        <v>47</v>
      </c>
      <c r="O15" s="14" t="s">
        <v>77</v>
      </c>
      <c r="P15" s="15" t="s">
        <v>47</v>
      </c>
      <c r="Q15" s="15" t="s">
        <v>77</v>
      </c>
      <c r="R15" s="14" t="s">
        <v>46</v>
      </c>
      <c r="S15" s="14" t="s">
        <v>47</v>
      </c>
      <c r="T15" s="14" t="s">
        <v>77</v>
      </c>
      <c r="U15" s="14" t="s">
        <v>46</v>
      </c>
      <c r="V15" s="14" t="s">
        <v>47</v>
      </c>
      <c r="W15" s="14" t="s">
        <v>77</v>
      </c>
      <c r="X15" s="15" t="s">
        <v>47</v>
      </c>
      <c r="Y15" s="15" t="s">
        <v>77</v>
      </c>
      <c r="Z15" s="14" t="s">
        <v>46</v>
      </c>
      <c r="AA15" s="14" t="s">
        <v>47</v>
      </c>
      <c r="AB15" s="14" t="s">
        <v>77</v>
      </c>
      <c r="AC15" s="14" t="s">
        <v>46</v>
      </c>
      <c r="AD15" s="14" t="s">
        <v>47</v>
      </c>
      <c r="AE15" s="14" t="s">
        <v>77</v>
      </c>
      <c r="AF15" s="15" t="s">
        <v>47</v>
      </c>
      <c r="AG15" s="15" t="s">
        <v>77</v>
      </c>
    </row>
    <row r="16" customHeight="1" spans="1:33">
      <c r="A16" s="16" t="s">
        <v>95</v>
      </c>
      <c r="B16" s="17">
        <f>VLOOKUP($A16,[2]基础指标!$AB$53:$AK$54,3,0)</f>
        <v>312.5</v>
      </c>
      <c r="C16" s="17">
        <f>VLOOKUP($A16,[2]基础指标!$AB$53:$AK$54,4,0)</f>
        <v>34.837677</v>
      </c>
      <c r="D16" s="18">
        <f t="shared" ref="D16:D19" si="16">C16/B16</f>
        <v>0.1114805664</v>
      </c>
      <c r="E16" s="17">
        <f>VLOOKUP($A16,[3]基础指标!$Y$53:$AH$54,3,0)</f>
        <v>166.41</v>
      </c>
      <c r="F16" s="17">
        <f>VLOOKUP($A16,[3]基础指标!$Y$53:$AH$54,4,0)</f>
        <v>38.96</v>
      </c>
      <c r="G16" s="18">
        <f t="shared" ref="G16:G19" si="17">F16/E16</f>
        <v>0.234120545640286</v>
      </c>
      <c r="H16" s="17">
        <f t="shared" ref="H16:H19" si="18">C16-F16</f>
        <v>-4.12232299999999</v>
      </c>
      <c r="I16" s="18">
        <f t="shared" ref="I16:I19" si="19">D16-G16</f>
        <v>-0.122639979240286</v>
      </c>
      <c r="J16" s="17">
        <f>VLOOKUP($A16,[2]基础指标!$AB$53:$AK$54,6,0)</f>
        <v>85.12</v>
      </c>
      <c r="K16" s="17">
        <f>VLOOKUP($A16,[2]基础指标!$AB$53:$AK$54,7,0)</f>
        <v>10.414512</v>
      </c>
      <c r="L16" s="18">
        <f t="shared" ref="L16:L19" si="20">K16/J16</f>
        <v>0.122350939849624</v>
      </c>
      <c r="M16" s="17">
        <f>VLOOKUP($A16,[3]基础指标!$Y$53:$AH$54,6,0)</f>
        <v>0.899999999999999</v>
      </c>
      <c r="N16" s="17">
        <f>VLOOKUP($A16,[3]基础指标!$Y$53:$AH$54,7,0)</f>
        <v>0.45</v>
      </c>
      <c r="O16" s="18">
        <f t="shared" ref="O16:O19" si="21">N16/M16</f>
        <v>0.500000000000001</v>
      </c>
      <c r="P16" s="19">
        <f t="shared" ref="P16:P19" si="22">K16-N16</f>
        <v>9.964512</v>
      </c>
      <c r="Q16" s="18">
        <f t="shared" ref="Q16:Q19" si="23">L16-O16</f>
        <v>-0.377649060150377</v>
      </c>
      <c r="R16" s="25" t="s">
        <v>64</v>
      </c>
      <c r="S16" s="26"/>
      <c r="T16" s="26"/>
      <c r="U16" s="26"/>
      <c r="V16" s="26"/>
      <c r="W16" s="26"/>
      <c r="X16" s="26"/>
      <c r="Y16" s="27"/>
      <c r="Z16" s="17">
        <f>B16+J16</f>
        <v>397.62</v>
      </c>
      <c r="AA16" s="17">
        <f>C16+K16</f>
        <v>45.252189</v>
      </c>
      <c r="AB16" s="18">
        <f t="shared" ref="AB16:AB19" si="24">AA16/Z16</f>
        <v>0.113807627885921</v>
      </c>
      <c r="AC16" s="17">
        <f>E16+M16</f>
        <v>167.31</v>
      </c>
      <c r="AD16" s="17">
        <f>F16+N16</f>
        <v>39.41</v>
      </c>
      <c r="AE16" s="18">
        <f t="shared" ref="AE16:AE19" si="25">AD16/AC16</f>
        <v>0.235550774012312</v>
      </c>
      <c r="AF16" s="17">
        <f t="shared" ref="AF16:AF19" si="26">AA16-AD16</f>
        <v>5.842189</v>
      </c>
      <c r="AG16" s="18">
        <f t="shared" ref="AG16:AG19" si="27">AB16-AE16</f>
        <v>-0.121743146126391</v>
      </c>
    </row>
    <row r="17" customHeight="1" spans="1:33">
      <c r="A17" s="16" t="s">
        <v>96</v>
      </c>
      <c r="B17" s="17">
        <f>VLOOKUP($A17,[2]基础指标!$AB$53:$AK$54,3,0)</f>
        <v>505.8</v>
      </c>
      <c r="C17" s="17">
        <f>VLOOKUP($A17,[2]基础指标!$AB$53:$AK$54,4,0)</f>
        <v>101.176906</v>
      </c>
      <c r="D17" s="18">
        <f t="shared" si="16"/>
        <v>0.200033424278371</v>
      </c>
      <c r="E17" s="17">
        <f>VLOOKUP($A17,[3]基础指标!$Y$53:$AH$54,3,0)</f>
        <v>216.9</v>
      </c>
      <c r="F17" s="17">
        <f>VLOOKUP($A17,[3]基础指标!$Y$53:$AH$54,4,0)</f>
        <v>55.56</v>
      </c>
      <c r="G17" s="18">
        <f t="shared" si="17"/>
        <v>0.256154910096819</v>
      </c>
      <c r="H17" s="17">
        <f t="shared" si="18"/>
        <v>45.616906</v>
      </c>
      <c r="I17" s="18">
        <f t="shared" si="19"/>
        <v>-0.0561214858184479</v>
      </c>
      <c r="J17" s="17">
        <f>VLOOKUP($A17,[2]基础指标!$AB$53:$AK$54,6,0)</f>
        <v>138.08</v>
      </c>
      <c r="K17" s="17">
        <f>VLOOKUP($A17,[2]基础指标!$AB$53:$AK$54,7,0)</f>
        <v>17.568221</v>
      </c>
      <c r="L17" s="18">
        <f t="shared" si="20"/>
        <v>0.127232191483198</v>
      </c>
      <c r="M17" s="17">
        <f>VLOOKUP($A17,[3]基础指标!$Y$53:$AH$54,6,0)</f>
        <v>7.01</v>
      </c>
      <c r="N17" s="17">
        <f>VLOOKUP($A17,[3]基础指标!$Y$53:$AH$54,7,0)</f>
        <v>2.15</v>
      </c>
      <c r="O17" s="18">
        <f t="shared" si="21"/>
        <v>0.306704707560628</v>
      </c>
      <c r="P17" s="19">
        <f t="shared" si="22"/>
        <v>15.418221</v>
      </c>
      <c r="Q17" s="18">
        <f t="shared" si="23"/>
        <v>-0.17947251607743</v>
      </c>
      <c r="R17" s="28"/>
      <c r="S17" s="29"/>
      <c r="T17" s="29"/>
      <c r="U17" s="29"/>
      <c r="V17" s="29"/>
      <c r="W17" s="29"/>
      <c r="X17" s="29"/>
      <c r="Y17" s="30"/>
      <c r="Z17" s="17">
        <f>B17+J17</f>
        <v>643.88</v>
      </c>
      <c r="AA17" s="17">
        <f>C17+K17</f>
        <v>118.745127</v>
      </c>
      <c r="AB17" s="18">
        <f t="shared" si="24"/>
        <v>0.184421207367833</v>
      </c>
      <c r="AC17" s="17">
        <f>E17+M17</f>
        <v>223.91</v>
      </c>
      <c r="AD17" s="17">
        <f>F17+N17</f>
        <v>57.71</v>
      </c>
      <c r="AE17" s="18">
        <f t="shared" si="25"/>
        <v>0.25773748381046</v>
      </c>
      <c r="AF17" s="17">
        <f t="shared" si="26"/>
        <v>61.035127</v>
      </c>
      <c r="AG17" s="18">
        <f t="shared" si="27"/>
        <v>-0.0733162764426271</v>
      </c>
    </row>
    <row r="18" customHeight="1" spans="1:33">
      <c r="A18" s="16" t="s">
        <v>32</v>
      </c>
      <c r="B18" s="17">
        <f>SUM(B16:B17)</f>
        <v>818.3</v>
      </c>
      <c r="C18" s="17">
        <f>SUM(C16:C17)</f>
        <v>136.014583</v>
      </c>
      <c r="D18" s="18">
        <f t="shared" si="16"/>
        <v>0.16621603690578</v>
      </c>
      <c r="E18" s="17">
        <f>SUM(E16:E17)</f>
        <v>383.31</v>
      </c>
      <c r="F18" s="17">
        <f>SUM(F16:F17)</f>
        <v>94.52</v>
      </c>
      <c r="G18" s="18">
        <f t="shared" si="17"/>
        <v>0.246588922803997</v>
      </c>
      <c r="H18" s="17">
        <f t="shared" si="18"/>
        <v>41.494583</v>
      </c>
      <c r="I18" s="18">
        <f t="shared" si="19"/>
        <v>-0.0803728858982165</v>
      </c>
      <c r="J18" s="19">
        <f>SUM(J16:J17)</f>
        <v>223.2</v>
      </c>
      <c r="K18" s="19">
        <f>SUM(K16:K17)</f>
        <v>27.982733</v>
      </c>
      <c r="L18" s="18">
        <f t="shared" si="20"/>
        <v>0.125370667562724</v>
      </c>
      <c r="M18" s="19">
        <f>SUM(M16:M17)</f>
        <v>7.91</v>
      </c>
      <c r="N18" s="19">
        <f>SUM(N16:N17)</f>
        <v>2.6</v>
      </c>
      <c r="O18" s="18">
        <f t="shared" si="21"/>
        <v>0.328697850821745</v>
      </c>
      <c r="P18" s="19">
        <f t="shared" si="22"/>
        <v>25.382733</v>
      </c>
      <c r="Q18" s="18">
        <f t="shared" si="23"/>
        <v>-0.203327183259021</v>
      </c>
      <c r="R18" s="17">
        <v>0</v>
      </c>
      <c r="S18" s="17">
        <v>0</v>
      </c>
      <c r="T18" s="31">
        <v>0</v>
      </c>
      <c r="U18" s="17">
        <v>0</v>
      </c>
      <c r="V18" s="17">
        <v>0</v>
      </c>
      <c r="W18" s="31">
        <v>0</v>
      </c>
      <c r="X18" s="17">
        <v>0</v>
      </c>
      <c r="Y18" s="31">
        <v>0</v>
      </c>
      <c r="Z18" s="17">
        <f>SUM(Z16:Z17)</f>
        <v>1041.5</v>
      </c>
      <c r="AA18" s="17">
        <f>SUM(AA16:AA17)</f>
        <v>163.997316</v>
      </c>
      <c r="AB18" s="18">
        <f t="shared" si="24"/>
        <v>0.157462617378781</v>
      </c>
      <c r="AC18" s="17">
        <f>SUM(AC16:AC17)</f>
        <v>391.22</v>
      </c>
      <c r="AD18" s="17">
        <f>SUM(AD16:AD17)</f>
        <v>97.12</v>
      </c>
      <c r="AE18" s="18">
        <f t="shared" si="25"/>
        <v>0.248249067021113</v>
      </c>
      <c r="AF18" s="17">
        <f t="shared" si="26"/>
        <v>66.877316</v>
      </c>
      <c r="AG18" s="18">
        <f t="shared" si="27"/>
        <v>-0.0907864496423328</v>
      </c>
    </row>
    <row r="19" ht="37" customHeight="1" spans="1:33">
      <c r="A19" s="20" t="s">
        <v>97</v>
      </c>
      <c r="B19" s="17">
        <f>'历欠-账龄'!B7-B18</f>
        <v>1178.43</v>
      </c>
      <c r="C19" s="17">
        <f>'历欠-账龄'!C7-C18</f>
        <v>419.049374</v>
      </c>
      <c r="D19" s="18">
        <f t="shared" si="16"/>
        <v>0.355599716572049</v>
      </c>
      <c r="E19" s="17">
        <f>'历欠-账龄'!E7-E18</f>
        <v>811.83</v>
      </c>
      <c r="F19" s="17">
        <f>'历欠-账龄'!F7-F18</f>
        <v>283.49</v>
      </c>
      <c r="G19" s="18">
        <f t="shared" si="17"/>
        <v>0.349198723870761</v>
      </c>
      <c r="H19" s="17">
        <f t="shared" si="18"/>
        <v>135.559374</v>
      </c>
      <c r="I19" s="32">
        <f t="shared" si="19"/>
        <v>0.00640099270128813</v>
      </c>
      <c r="J19" s="17">
        <f>'历欠-账龄'!J7-J18</f>
        <v>350.33</v>
      </c>
      <c r="K19" s="17">
        <f>'历欠-账龄'!K7-K18</f>
        <v>58.781977</v>
      </c>
      <c r="L19" s="18">
        <f t="shared" si="20"/>
        <v>0.167790303428196</v>
      </c>
      <c r="M19" s="17">
        <f>'历欠-账龄'!M7-M18</f>
        <v>268.46</v>
      </c>
      <c r="N19" s="17">
        <f>'历欠-账龄'!N7-N18</f>
        <v>26.33</v>
      </c>
      <c r="O19" s="18">
        <f t="shared" si="21"/>
        <v>0.0980779259479997</v>
      </c>
      <c r="P19" s="17">
        <f t="shared" si="22"/>
        <v>32.451977</v>
      </c>
      <c r="Q19" s="18">
        <f t="shared" si="23"/>
        <v>0.0697123774801966</v>
      </c>
      <c r="R19" s="17">
        <f>'历欠-账龄'!R7-R18</f>
        <v>136.79</v>
      </c>
      <c r="S19" s="17">
        <f>'历欠-账龄'!S7-S18</f>
        <v>14.627938</v>
      </c>
      <c r="T19" s="18">
        <f>S19/R19</f>
        <v>0.106937188390964</v>
      </c>
      <c r="U19" s="17">
        <f>'历欠-账龄'!U7-U18</f>
        <v>100.26</v>
      </c>
      <c r="V19" s="17">
        <f>'历欠-账龄'!V7-V18</f>
        <v>7.01</v>
      </c>
      <c r="W19" s="18">
        <f>V19/U19</f>
        <v>0.0699182126471175</v>
      </c>
      <c r="X19" s="17">
        <f>S19-V19</f>
        <v>7.617938</v>
      </c>
      <c r="Y19" s="18">
        <f>T19-W19</f>
        <v>0.0370189757438468</v>
      </c>
      <c r="Z19" s="17">
        <f t="shared" ref="Z19:AD19" si="28">B19+J19+R19</f>
        <v>1665.55</v>
      </c>
      <c r="AA19" s="17">
        <f t="shared" si="28"/>
        <v>492.459289</v>
      </c>
      <c r="AB19" s="18">
        <f t="shared" si="24"/>
        <v>0.295673674762091</v>
      </c>
      <c r="AC19" s="17">
        <f t="shared" si="28"/>
        <v>1180.55</v>
      </c>
      <c r="AD19" s="17">
        <f t="shared" si="28"/>
        <v>316.83</v>
      </c>
      <c r="AE19" s="18">
        <f t="shared" si="25"/>
        <v>0.268374909999576</v>
      </c>
      <c r="AF19" s="17">
        <f t="shared" si="26"/>
        <v>175.629289</v>
      </c>
      <c r="AG19" s="32">
        <f t="shared" si="27"/>
        <v>0.0272987647625141</v>
      </c>
    </row>
  </sheetData>
  <mergeCells count="39">
    <mergeCell ref="A1:AG1"/>
    <mergeCell ref="A2:AG2"/>
    <mergeCell ref="B3:I3"/>
    <mergeCell ref="J3:Q3"/>
    <mergeCell ref="R3:Y3"/>
    <mergeCell ref="Z3:AG3"/>
    <mergeCell ref="B4:D4"/>
    <mergeCell ref="E4:G4"/>
    <mergeCell ref="H4:I4"/>
    <mergeCell ref="J4:L4"/>
    <mergeCell ref="M4:O4"/>
    <mergeCell ref="P4:Q4"/>
    <mergeCell ref="R4:T4"/>
    <mergeCell ref="U4:W4"/>
    <mergeCell ref="X4:Y4"/>
    <mergeCell ref="Z4:AB4"/>
    <mergeCell ref="AC4:AE4"/>
    <mergeCell ref="AF4:AG4"/>
    <mergeCell ref="A11:AG11"/>
    <mergeCell ref="A12:AG12"/>
    <mergeCell ref="B13:I13"/>
    <mergeCell ref="J13:Q13"/>
    <mergeCell ref="R13:Y13"/>
    <mergeCell ref="Z13:AG13"/>
    <mergeCell ref="B14:D14"/>
    <mergeCell ref="E14:G14"/>
    <mergeCell ref="H14:I14"/>
    <mergeCell ref="J14:L14"/>
    <mergeCell ref="M14:O14"/>
    <mergeCell ref="P14:Q14"/>
    <mergeCell ref="R14:T14"/>
    <mergeCell ref="U14:W14"/>
    <mergeCell ref="X14:Y14"/>
    <mergeCell ref="Z14:AB14"/>
    <mergeCell ref="AC14:AE14"/>
    <mergeCell ref="AF14:AG14"/>
    <mergeCell ref="A3:A5"/>
    <mergeCell ref="A13:A15"/>
    <mergeCell ref="R16:Y17"/>
  </mergeCells>
  <pageMargins left="0.75" right="0.75" top="0.708333333333333" bottom="1" header="0.5" footer="0.5"/>
  <pageSetup paperSize="9" scale="80" orientation="landscape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J18" sqref="J18"/>
    </sheetView>
  </sheetViews>
  <sheetFormatPr defaultColWidth="9" defaultRowHeight="16.5"/>
  <cols>
    <col min="1" max="9" width="13" style="1" customWidth="1"/>
    <col min="10" max="16384" width="9" style="1"/>
  </cols>
  <sheetData>
    <row r="1" ht="21" customHeight="1" spans="1:9">
      <c r="A1" s="2" t="s">
        <v>1</v>
      </c>
      <c r="B1" s="3" t="s">
        <v>99</v>
      </c>
      <c r="C1" s="3"/>
      <c r="D1" s="3"/>
      <c r="E1" s="3"/>
      <c r="F1" s="3" t="s">
        <v>100</v>
      </c>
      <c r="G1" s="3"/>
      <c r="H1" s="3"/>
      <c r="I1" s="3"/>
    </row>
    <row r="2" ht="21" customHeight="1" spans="1:9">
      <c r="A2" s="2"/>
      <c r="B2" s="2" t="s">
        <v>101</v>
      </c>
      <c r="C2" s="2" t="s">
        <v>75</v>
      </c>
      <c r="D2" s="3" t="s">
        <v>102</v>
      </c>
      <c r="E2" s="3" t="s">
        <v>103</v>
      </c>
      <c r="F2" s="2" t="s">
        <v>101</v>
      </c>
      <c r="G2" s="2" t="s">
        <v>75</v>
      </c>
      <c r="H2" s="3" t="s">
        <v>102</v>
      </c>
      <c r="I2" s="3" t="s">
        <v>103</v>
      </c>
    </row>
    <row r="3" spans="1:9">
      <c r="A3" s="4" t="s">
        <v>26</v>
      </c>
      <c r="B3" s="5">
        <v>2472.891723</v>
      </c>
      <c r="C3" s="6">
        <v>1666.40005309</v>
      </c>
      <c r="D3" s="7">
        <v>962.64304</v>
      </c>
      <c r="E3" s="8">
        <f t="shared" ref="E3:E16" si="0">D3/C3</f>
        <v>0.577678234116096</v>
      </c>
      <c r="F3" s="5">
        <v>244.413606</v>
      </c>
      <c r="G3" s="6">
        <v>115.8320563</v>
      </c>
      <c r="H3" s="7">
        <v>74.48692</v>
      </c>
      <c r="I3" s="8">
        <f t="shared" ref="I3:I16" si="1">H3/G3</f>
        <v>0.643059636333159</v>
      </c>
    </row>
    <row r="4" spans="1:9">
      <c r="A4" s="4" t="s">
        <v>24</v>
      </c>
      <c r="B4" s="5">
        <v>460.18</v>
      </c>
      <c r="C4" s="6">
        <v>333.0077</v>
      </c>
      <c r="D4" s="7">
        <v>175.73</v>
      </c>
      <c r="E4" s="8">
        <f t="shared" si="0"/>
        <v>0.52770551551811</v>
      </c>
      <c r="F4" s="5">
        <v>223.46</v>
      </c>
      <c r="G4" s="6">
        <v>103.8218</v>
      </c>
      <c r="H4" s="7">
        <v>41.93</v>
      </c>
      <c r="I4" s="8">
        <f t="shared" si="1"/>
        <v>0.403865084211601</v>
      </c>
    </row>
    <row r="5" spans="1:9">
      <c r="A5" s="4" t="s">
        <v>27</v>
      </c>
      <c r="B5" s="5">
        <v>4258.8</v>
      </c>
      <c r="C5" s="6">
        <v>1888.0163235</v>
      </c>
      <c r="D5" s="7">
        <v>684.28</v>
      </c>
      <c r="E5" s="8">
        <f t="shared" si="0"/>
        <v>0.362433307108004</v>
      </c>
      <c r="F5" s="5">
        <v>83.536082</v>
      </c>
      <c r="G5" s="6">
        <v>41.33909066</v>
      </c>
      <c r="H5" s="7">
        <v>13.84</v>
      </c>
      <c r="I5" s="8">
        <f t="shared" si="1"/>
        <v>0.334792076435094</v>
      </c>
    </row>
    <row r="6" spans="1:9">
      <c r="A6" s="4" t="s">
        <v>30</v>
      </c>
      <c r="B6" s="5">
        <v>269.514583</v>
      </c>
      <c r="C6" s="6">
        <v>162.93789785</v>
      </c>
      <c r="D6" s="7">
        <v>58.032243</v>
      </c>
      <c r="E6" s="8">
        <f t="shared" si="0"/>
        <v>0.356161726435333</v>
      </c>
      <c r="F6" s="5">
        <v>1462.949749</v>
      </c>
      <c r="G6" s="6">
        <v>449.7332669</v>
      </c>
      <c r="H6" s="7">
        <v>99.188519</v>
      </c>
      <c r="I6" s="8">
        <f t="shared" si="1"/>
        <v>0.220549659765452</v>
      </c>
    </row>
    <row r="7" spans="1:9">
      <c r="A7" s="4" t="s">
        <v>20</v>
      </c>
      <c r="B7" s="5">
        <v>2093.751989</v>
      </c>
      <c r="C7" s="6">
        <v>919.74720754</v>
      </c>
      <c r="D7" s="7">
        <v>325.000823</v>
      </c>
      <c r="E7" s="8">
        <f t="shared" si="0"/>
        <v>0.353358858103264</v>
      </c>
      <c r="F7" s="5">
        <v>1559.827468</v>
      </c>
      <c r="G7" s="6">
        <v>606.3504378805</v>
      </c>
      <c r="H7" s="7">
        <v>121.22411</v>
      </c>
      <c r="I7" s="8">
        <f t="shared" si="1"/>
        <v>0.199924173261488</v>
      </c>
    </row>
    <row r="8" spans="1:9">
      <c r="A8" s="4" t="s">
        <v>14</v>
      </c>
      <c r="B8" s="5">
        <v>360.334728</v>
      </c>
      <c r="C8" s="6">
        <v>266.4685107</v>
      </c>
      <c r="D8" s="7">
        <v>86.76</v>
      </c>
      <c r="E8" s="8">
        <f t="shared" si="0"/>
        <v>0.325591942447855</v>
      </c>
      <c r="F8" s="5">
        <v>257.974363</v>
      </c>
      <c r="G8" s="6">
        <v>106.05955882</v>
      </c>
      <c r="H8" s="7">
        <v>22.34</v>
      </c>
      <c r="I8" s="8">
        <f t="shared" si="1"/>
        <v>0.210636365534148</v>
      </c>
    </row>
    <row r="9" spans="1:9">
      <c r="A9" s="4" t="s">
        <v>16</v>
      </c>
      <c r="B9" s="5">
        <v>2699.25</v>
      </c>
      <c r="C9" s="6">
        <v>1397.82785</v>
      </c>
      <c r="D9" s="7">
        <v>435.251831</v>
      </c>
      <c r="E9" s="8">
        <f t="shared" si="0"/>
        <v>0.311377277967383</v>
      </c>
      <c r="F9" s="5">
        <v>319.12</v>
      </c>
      <c r="G9" s="6">
        <v>31.912</v>
      </c>
      <c r="H9" s="7">
        <v>2.144402</v>
      </c>
      <c r="I9" s="8">
        <f t="shared" si="1"/>
        <v>0.0671973552268739</v>
      </c>
    </row>
    <row r="10" spans="1:9">
      <c r="A10" s="4" t="s">
        <v>29</v>
      </c>
      <c r="B10" s="5">
        <v>1163.63422</v>
      </c>
      <c r="C10" s="6">
        <v>481.87324511</v>
      </c>
      <c r="D10" s="7">
        <v>148.354427</v>
      </c>
      <c r="E10" s="8">
        <f t="shared" si="0"/>
        <v>0.307870230409107</v>
      </c>
      <c r="F10" s="5">
        <v>751.742873</v>
      </c>
      <c r="G10" s="6">
        <v>245.6500331</v>
      </c>
      <c r="H10" s="7">
        <v>65.583818</v>
      </c>
      <c r="I10" s="8">
        <f t="shared" si="1"/>
        <v>0.266980700846484</v>
      </c>
    </row>
    <row r="11" spans="1:9">
      <c r="A11" s="4" t="s">
        <v>17</v>
      </c>
      <c r="B11" s="5">
        <v>514.230069</v>
      </c>
      <c r="C11" s="6">
        <v>356.33810977</v>
      </c>
      <c r="D11" s="7">
        <v>109.25946</v>
      </c>
      <c r="E11" s="8">
        <f t="shared" si="0"/>
        <v>0.306617386701978</v>
      </c>
      <c r="F11" s="5">
        <v>676.393222</v>
      </c>
      <c r="G11" s="6">
        <v>363.6299174</v>
      </c>
      <c r="H11" s="7">
        <v>104.42</v>
      </c>
      <c r="I11" s="8">
        <f t="shared" si="1"/>
        <v>0.287160090529999</v>
      </c>
    </row>
    <row r="12" spans="1:9">
      <c r="A12" s="4" t="s">
        <v>25</v>
      </c>
      <c r="B12" s="5">
        <v>627.348516</v>
      </c>
      <c r="C12" s="6">
        <v>214.38633226</v>
      </c>
      <c r="D12" s="7">
        <v>60.048759</v>
      </c>
      <c r="E12" s="8">
        <f t="shared" si="0"/>
        <v>0.280096022759394</v>
      </c>
      <c r="F12" s="5">
        <v>164.587348</v>
      </c>
      <c r="G12" s="6">
        <v>57.17781672</v>
      </c>
      <c r="H12" s="7">
        <v>44.810256</v>
      </c>
      <c r="I12" s="8">
        <f t="shared" si="1"/>
        <v>0.783700018128289</v>
      </c>
    </row>
    <row r="13" spans="1:9">
      <c r="A13" s="4" t="s">
        <v>15</v>
      </c>
      <c r="B13" s="5">
        <v>1771.250712</v>
      </c>
      <c r="C13" s="6">
        <v>1035.55197723</v>
      </c>
      <c r="D13" s="7">
        <v>288.723576</v>
      </c>
      <c r="E13" s="8">
        <f t="shared" si="0"/>
        <v>0.278811283594192</v>
      </c>
      <c r="F13" s="5">
        <v>1791.256341</v>
      </c>
      <c r="G13" s="6">
        <v>665.818505481</v>
      </c>
      <c r="H13" s="7">
        <v>189.560217</v>
      </c>
      <c r="I13" s="8">
        <f t="shared" si="1"/>
        <v>0.284702535960694</v>
      </c>
    </row>
    <row r="14" spans="1:9">
      <c r="A14" s="4" t="s">
        <v>19</v>
      </c>
      <c r="B14" s="5">
        <v>1559.877903</v>
      </c>
      <c r="C14" s="6">
        <v>458.64400324</v>
      </c>
      <c r="D14" s="7">
        <v>107.541188</v>
      </c>
      <c r="E14" s="8">
        <f t="shared" si="0"/>
        <v>0.234476385258057</v>
      </c>
      <c r="F14" s="5">
        <v>1101.601978</v>
      </c>
      <c r="G14" s="6">
        <v>254.819453752</v>
      </c>
      <c r="H14" s="7">
        <v>33.583989</v>
      </c>
      <c r="I14" s="8">
        <f t="shared" si="1"/>
        <v>0.131795231900486</v>
      </c>
    </row>
    <row r="15" spans="1:9">
      <c r="A15" s="4" t="s">
        <v>21</v>
      </c>
      <c r="B15" s="5">
        <v>1701.953116</v>
      </c>
      <c r="C15" s="6">
        <v>819.689175177</v>
      </c>
      <c r="D15" s="7">
        <v>158.399101</v>
      </c>
      <c r="E15" s="8">
        <f t="shared" si="0"/>
        <v>0.193242884982342</v>
      </c>
      <c r="F15" s="5">
        <v>1925.821446</v>
      </c>
      <c r="G15" s="6">
        <v>443.38577158</v>
      </c>
      <c r="H15" s="7">
        <v>109.605654</v>
      </c>
      <c r="I15" s="8">
        <f t="shared" si="1"/>
        <v>0.247201559060909</v>
      </c>
    </row>
    <row r="16" spans="1:9">
      <c r="A16" s="4" t="s">
        <v>32</v>
      </c>
      <c r="B16" s="5">
        <f>SUM(B3:B15)</f>
        <v>19953.017559</v>
      </c>
      <c r="C16" s="6">
        <f>SUM(C3:C15)</f>
        <v>10000.888385467</v>
      </c>
      <c r="D16" s="7">
        <f>SUM(D3:D15)</f>
        <v>3600.024448</v>
      </c>
      <c r="E16" s="8">
        <f t="shared" si="0"/>
        <v>0.359970465546986</v>
      </c>
      <c r="F16" s="5">
        <f>SUM(F3:F15)</f>
        <v>10562.684476</v>
      </c>
      <c r="G16" s="6">
        <f>SUM(G3:G15)</f>
        <v>3485.5297085935</v>
      </c>
      <c r="H16" s="7">
        <f>SUM(H3:H15)</f>
        <v>922.717885</v>
      </c>
      <c r="I16" s="8">
        <f t="shared" si="1"/>
        <v>0.264728165341715</v>
      </c>
    </row>
    <row r="20" spans="1:5">
      <c r="A20" s="2" t="s">
        <v>1</v>
      </c>
      <c r="B20" s="2" t="s">
        <v>101</v>
      </c>
      <c r="C20" s="2" t="s">
        <v>75</v>
      </c>
      <c r="D20" s="3" t="s">
        <v>102</v>
      </c>
      <c r="E20" s="3" t="s">
        <v>103</v>
      </c>
    </row>
    <row r="21" spans="1:5">
      <c r="A21" s="4" t="s">
        <v>29</v>
      </c>
      <c r="B21" s="5">
        <v>751.742873</v>
      </c>
      <c r="C21" s="6">
        <v>245.6500331</v>
      </c>
      <c r="D21" s="7">
        <v>65.583818</v>
      </c>
      <c r="E21" s="8">
        <f t="shared" ref="E21:E34" si="2">D21/C21</f>
        <v>0.266980700846484</v>
      </c>
    </row>
    <row r="22" spans="1:5">
      <c r="A22" s="4" t="s">
        <v>15</v>
      </c>
      <c r="B22" s="5">
        <v>1791.256341</v>
      </c>
      <c r="C22" s="6">
        <v>665.818505481</v>
      </c>
      <c r="D22" s="7">
        <v>189.560217</v>
      </c>
      <c r="E22" s="8">
        <f t="shared" si="2"/>
        <v>0.284702535960694</v>
      </c>
    </row>
    <row r="23" spans="1:5">
      <c r="A23" s="4" t="s">
        <v>21</v>
      </c>
      <c r="B23" s="5">
        <v>1925.821446</v>
      </c>
      <c r="C23" s="6">
        <v>443.38577158</v>
      </c>
      <c r="D23" s="7">
        <v>109.605654</v>
      </c>
      <c r="E23" s="8">
        <f t="shared" si="2"/>
        <v>0.247201559060909</v>
      </c>
    </row>
    <row r="24" spans="1:5">
      <c r="A24" s="4" t="s">
        <v>17</v>
      </c>
      <c r="B24" s="5">
        <v>676.393222</v>
      </c>
      <c r="C24" s="6">
        <v>363.6299174</v>
      </c>
      <c r="D24" s="7">
        <v>104.42</v>
      </c>
      <c r="E24" s="8">
        <f t="shared" si="2"/>
        <v>0.287160090529999</v>
      </c>
    </row>
    <row r="25" spans="1:5">
      <c r="A25" s="4" t="s">
        <v>14</v>
      </c>
      <c r="B25" s="5">
        <v>257.974363</v>
      </c>
      <c r="C25" s="6">
        <v>106.05955882</v>
      </c>
      <c r="D25" s="7">
        <v>22.34</v>
      </c>
      <c r="E25" s="8">
        <f t="shared" si="2"/>
        <v>0.210636365534148</v>
      </c>
    </row>
    <row r="26" spans="1:5">
      <c r="A26" s="4" t="s">
        <v>20</v>
      </c>
      <c r="B26" s="5">
        <v>1559.827468</v>
      </c>
      <c r="C26" s="6">
        <v>606.3504378805</v>
      </c>
      <c r="D26" s="7">
        <v>121.22411</v>
      </c>
      <c r="E26" s="8">
        <f t="shared" si="2"/>
        <v>0.199924173261488</v>
      </c>
    </row>
    <row r="27" spans="1:5">
      <c r="A27" s="4" t="s">
        <v>30</v>
      </c>
      <c r="B27" s="5">
        <v>1462.949749</v>
      </c>
      <c r="C27" s="6">
        <v>449.7332669</v>
      </c>
      <c r="D27" s="7">
        <v>99.188519</v>
      </c>
      <c r="E27" s="8">
        <f t="shared" si="2"/>
        <v>0.220549659765452</v>
      </c>
    </row>
    <row r="28" spans="1:5">
      <c r="A28" s="4" t="s">
        <v>27</v>
      </c>
      <c r="B28" s="5">
        <v>83.536082</v>
      </c>
      <c r="C28" s="6">
        <v>41.33909066</v>
      </c>
      <c r="D28" s="7">
        <v>13.84</v>
      </c>
      <c r="E28" s="8">
        <f t="shared" si="2"/>
        <v>0.334792076435094</v>
      </c>
    </row>
    <row r="29" spans="1:5">
      <c r="A29" s="4" t="s">
        <v>26</v>
      </c>
      <c r="B29" s="5">
        <v>244.413606</v>
      </c>
      <c r="C29" s="6">
        <v>115.8320563</v>
      </c>
      <c r="D29" s="7">
        <v>74.48692</v>
      </c>
      <c r="E29" s="8">
        <f t="shared" si="2"/>
        <v>0.643059636333159</v>
      </c>
    </row>
    <row r="30" spans="1:5">
      <c r="A30" s="4" t="s">
        <v>24</v>
      </c>
      <c r="B30" s="5">
        <v>223.46</v>
      </c>
      <c r="C30" s="6">
        <v>103.8218</v>
      </c>
      <c r="D30" s="7">
        <v>41.93</v>
      </c>
      <c r="E30" s="8">
        <f t="shared" si="2"/>
        <v>0.403865084211601</v>
      </c>
    </row>
    <row r="31" spans="1:5">
      <c r="A31" s="4" t="s">
        <v>16</v>
      </c>
      <c r="B31" s="5">
        <v>319.12</v>
      </c>
      <c r="C31" s="6">
        <v>31.912</v>
      </c>
      <c r="D31" s="7">
        <v>2.144402</v>
      </c>
      <c r="E31" s="8">
        <f t="shared" si="2"/>
        <v>0.0671973552268739</v>
      </c>
    </row>
    <row r="32" spans="1:5">
      <c r="A32" s="4" t="s">
        <v>25</v>
      </c>
      <c r="B32" s="5">
        <v>164.587348</v>
      </c>
      <c r="C32" s="6">
        <v>57.17781672</v>
      </c>
      <c r="D32" s="7">
        <v>44.810256</v>
      </c>
      <c r="E32" s="8">
        <f t="shared" si="2"/>
        <v>0.783700018128289</v>
      </c>
    </row>
    <row r="33" spans="1:5">
      <c r="A33" s="4" t="s">
        <v>19</v>
      </c>
      <c r="B33" s="5">
        <v>1101.601978</v>
      </c>
      <c r="C33" s="6">
        <v>254.819453752</v>
      </c>
      <c r="D33" s="7">
        <v>33.583989</v>
      </c>
      <c r="E33" s="8">
        <f t="shared" si="2"/>
        <v>0.131795231900486</v>
      </c>
    </row>
    <row r="34" spans="1:5">
      <c r="A34" s="4" t="s">
        <v>32</v>
      </c>
      <c r="B34" s="5">
        <f>SUM(B21:B33)</f>
        <v>10562.684476</v>
      </c>
      <c r="C34" s="6">
        <f>SUM(C21:C33)</f>
        <v>3485.5297085935</v>
      </c>
      <c r="D34" s="7">
        <f>SUM(D21:D33)</f>
        <v>922.717885</v>
      </c>
      <c r="E34" s="8">
        <f t="shared" si="2"/>
        <v>0.264728165341715</v>
      </c>
    </row>
  </sheetData>
  <sortState ref="A3:I15">
    <sortCondition ref="E3:E15" descending="1"/>
  </sortState>
  <mergeCells count="3">
    <mergeCell ref="B1:E1"/>
    <mergeCell ref="F1:I1"/>
    <mergeCell ref="A1:A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空间资源</vt:lpstr>
      <vt:lpstr>新增及涨价</vt:lpstr>
      <vt:lpstr>整体</vt:lpstr>
      <vt:lpstr>当期-费项</vt:lpstr>
      <vt:lpstr>历欠-账龄</vt:lpstr>
      <vt:lpstr>筑科案场</vt:lpstr>
      <vt:lpstr>都会+望辰府多业权</vt:lpstr>
      <vt:lpstr>基础指标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97487</dc:creator>
  <cp:lastModifiedBy>97487</cp:lastModifiedBy>
  <dcterms:created xsi:type="dcterms:W3CDTF">2025-05-11T01:58:00Z</dcterms:created>
  <dcterms:modified xsi:type="dcterms:W3CDTF">2026-06-26T02:16:10Z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721D351AC0DA4921996717F44E5BE33C_11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